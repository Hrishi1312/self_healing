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day04\csmgdepts\IT\EQEPlatformEnablement\KT_Dashboard\"/>
    </mc:Choice>
  </mc:AlternateContent>
  <xr:revisionPtr revIDLastSave="0" documentId="13_ncr:1_{A9D3B7CB-B53B-404A-B52B-F485B754DB93}" xr6:coauthVersionLast="47" xr6:coauthVersionMax="47" xr10:uidLastSave="{00000000-0000-0000-0000-000000000000}"/>
  <bookViews>
    <workbookView xWindow="-120" yWindow="-120" windowWidth="22680" windowHeight="13605" activeTab="3" xr2:uid="{00000000-000D-0000-FFFF-FFFF00000000}"/>
  </bookViews>
  <sheets>
    <sheet name="Existing" sheetId="16" r:id="rId1"/>
    <sheet name="Hiring Tracker" sheetId="18" r:id="rId2"/>
    <sheet name="HiringTracker-Infosys" sheetId="23" r:id="rId3"/>
    <sheet name="KT-Status" sheetId="22" r:id="rId4"/>
    <sheet name="App &amp; Wave Scope" sheetId="2" r:id="rId5"/>
    <sheet name="Transition - Progress by Domain" sheetId="4" r:id="rId6"/>
    <sheet name="Team Roster" sheetId="14" state="hidden" r:id="rId7"/>
    <sheet name="Interview Tracking-Summary" sheetId="21" state="hidden" r:id="rId8"/>
    <sheet name="Interview Tracking" sheetId="20" state="hidden" r:id="rId9"/>
    <sheet name="Plan Summary" sheetId="1" state="hidden" r:id="rId10"/>
    <sheet name="KA Knowledge Areas" sheetId="3" r:id="rId11"/>
    <sheet name="Discovery Questionnaire" sheetId="7" r:id="rId12"/>
    <sheet name="KT Metrics &amp; RAG" sheetId="5" r:id="rId13"/>
    <sheet name="Phase Gates" sheetId="6" r:id="rId14"/>
    <sheet name="Access &amp; Onboarding" sheetId="8" state="hidden" r:id="rId15"/>
    <sheet name="Governance &amp; Cadence" sheetId="9" r:id="rId16"/>
    <sheet name="KT RAID" sheetId="10" r:id="rId17"/>
    <sheet name="POCs Client" sheetId="11" state="hidden" r:id="rId18"/>
    <sheet name="POCs Ascendion" sheetId="12" state="hidden" r:id="rId19"/>
    <sheet name="PivotCandidate" sheetId="19" r:id="rId20"/>
    <sheet name="Focus Areas" sheetId="13" state="hidden" r:id="rId21"/>
    <sheet name="First KT Update" sheetId="17" state="hidden" r:id="rId22"/>
  </sheets>
  <definedNames>
    <definedName name="_xlnm._FilterDatabase" localSheetId="1" hidden="1">'Hiring Tracker'!$A$1:$G$103</definedName>
    <definedName name="_xlnm._FilterDatabase" localSheetId="2" hidden="1">'HiringTracker-Infosys'!$A$1:$G$103</definedName>
    <definedName name="_xlnm._FilterDatabase" localSheetId="8" hidden="1">'Interview Tracking'!$A$1:$G$34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8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22" l="1"/>
  <c r="R20" i="22" s="1"/>
  <c r="D20" i="22" s="1"/>
  <c r="Q3" i="22"/>
  <c r="R3" i="22" s="1"/>
  <c r="D3" i="22" s="1"/>
  <c r="Q4" i="22"/>
  <c r="R4" i="22"/>
  <c r="D4" i="22" s="1"/>
  <c r="Q5" i="22"/>
  <c r="R5" i="22"/>
  <c r="D5" i="22" s="1"/>
  <c r="Q6" i="22"/>
  <c r="R6" i="22" s="1"/>
  <c r="D6" i="22" s="1"/>
  <c r="Q7" i="22"/>
  <c r="R7" i="22" s="1"/>
  <c r="D7" i="22" s="1"/>
  <c r="Q8" i="22"/>
  <c r="R8" i="22" s="1"/>
  <c r="D8" i="22" s="1"/>
  <c r="D9" i="22"/>
  <c r="Q9" i="22"/>
  <c r="R9" i="22" s="1"/>
  <c r="Q10" i="22"/>
  <c r="R10" i="22" s="1"/>
  <c r="D10" i="22" s="1"/>
  <c r="Q11" i="22"/>
  <c r="R11" i="22"/>
  <c r="D11" i="22" s="1"/>
  <c r="D12" i="22"/>
  <c r="Q12" i="22"/>
  <c r="R12" i="22"/>
  <c r="Q13" i="22"/>
  <c r="R13" i="22" s="1"/>
  <c r="D13" i="22" s="1"/>
  <c r="Q14" i="22"/>
  <c r="R14" i="22" s="1"/>
  <c r="D14" i="22" s="1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K19" i="16"/>
  <c r="L19" i="16"/>
  <c r="M19" i="16" s="1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3" i="16"/>
  <c r="H19" i="16"/>
  <c r="G19" i="16"/>
  <c r="A16" i="16"/>
  <c r="A15" i="16"/>
  <c r="A18" i="16"/>
  <c r="A7" i="16"/>
  <c r="A4" i="16"/>
  <c r="A5" i="16"/>
  <c r="A6" i="16"/>
  <c r="A8" i="16"/>
  <c r="A9" i="16"/>
  <c r="A10" i="16"/>
  <c r="A11" i="16"/>
  <c r="A12" i="16"/>
  <c r="A14" i="16"/>
  <c r="A17" i="16"/>
  <c r="A3" i="16"/>
  <c r="D19" i="16"/>
  <c r="C19" i="16"/>
  <c r="B19" i="16"/>
  <c r="C20" i="16" l="1"/>
  <c r="E51" i="18"/>
  <c r="E33" i="18"/>
  <c r="E29" i="18"/>
  <c r="E24" i="18"/>
  <c r="E18" i="18"/>
  <c r="A3" i="13"/>
  <c r="A4" i="13" s="1"/>
  <c r="A5" i="13" s="1"/>
  <c r="A6" i="13" s="1"/>
  <c r="A7" i="13" s="1"/>
  <c r="A8" i="13" s="1"/>
</calcChain>
</file>

<file path=xl/sharedStrings.xml><?xml version="1.0" encoding="utf-8"?>
<sst xmlns="http://schemas.openxmlformats.org/spreadsheetml/2006/main" count="2359" uniqueCount="800">
  <si>
    <t>HC</t>
  </si>
  <si>
    <t>Existing</t>
  </si>
  <si>
    <t>NBL</t>
  </si>
  <si>
    <t>Sathish feedback</t>
  </si>
  <si>
    <t>Domain</t>
  </si>
  <si>
    <t>Target</t>
  </si>
  <si>
    <t>What IF</t>
  </si>
  <si>
    <t>ON</t>
  </si>
  <si>
    <t>OFF</t>
  </si>
  <si>
    <t>Total</t>
  </si>
  <si>
    <t>2 ON and 8 OFF</t>
  </si>
  <si>
    <t>Enrollment</t>
  </si>
  <si>
    <t>Daniel</t>
  </si>
  <si>
    <t>Optimizable to 2 ON and 8 OFF</t>
  </si>
  <si>
    <t>Provider</t>
  </si>
  <si>
    <t>Kalai</t>
  </si>
  <si>
    <t>Claims</t>
  </si>
  <si>
    <t>have 2 buffers</t>
  </si>
  <si>
    <t>Digital</t>
  </si>
  <si>
    <t>1 ON and 6 OFF</t>
  </si>
  <si>
    <t>MyLife</t>
  </si>
  <si>
    <t>Optimize Asc</t>
  </si>
  <si>
    <t>EDI</t>
  </si>
  <si>
    <t>jegadish</t>
  </si>
  <si>
    <t>Downsizing 3 offshore</t>
  </si>
  <si>
    <t>Encounters</t>
  </si>
  <si>
    <t>2 modules - Optimize Offshore</t>
  </si>
  <si>
    <t>SAP Finance</t>
  </si>
  <si>
    <t>Clinical - Clin Auto</t>
  </si>
  <si>
    <t>Bhavani</t>
  </si>
  <si>
    <t>Clinical - UM/CM</t>
  </si>
  <si>
    <t>SharedServices</t>
  </si>
  <si>
    <t>1 Solid Automation 3 PM EST coverage</t>
  </si>
  <si>
    <t>CrossProduct</t>
  </si>
  <si>
    <t>AI Testing (QE for AI)</t>
  </si>
  <si>
    <t>Recommended 1 ON</t>
  </si>
  <si>
    <t>GenAI Team{Foundational Build)</t>
  </si>
  <si>
    <t>TDM</t>
  </si>
  <si>
    <t>Ranjeeth</t>
  </si>
  <si>
    <t>Platform Enablement 
TestingTools / Tools Admin</t>
  </si>
  <si>
    <t>TOTAL</t>
  </si>
  <si>
    <t>Initiate ID creation</t>
  </si>
  <si>
    <t>All Leads Selections</t>
  </si>
  <si>
    <t>Care Source ID created</t>
  </si>
  <si>
    <t xml:space="preserve">50 % team to be onboarded </t>
  </si>
  <si>
    <t>Megala</t>
  </si>
  <si>
    <t>Md Naaeem</t>
  </si>
  <si>
    <t>Danesh</t>
  </si>
  <si>
    <t>CareSource Manager</t>
  </si>
  <si>
    <t>ON LEAD</t>
  </si>
  <si>
    <t>DoJ</t>
  </si>
  <si>
    <t>OFF LEAD</t>
  </si>
  <si>
    <t>KT Readiness</t>
  </si>
  <si>
    <t>KT Plan</t>
  </si>
  <si>
    <t>Christine</t>
  </si>
  <si>
    <t>Screening in Progress</t>
  </si>
  <si>
    <t>Not Ready</t>
  </si>
  <si>
    <t>In Progress</t>
  </si>
  <si>
    <t>Rajasulochana</t>
  </si>
  <si>
    <t>Ready to Start</t>
  </si>
  <si>
    <t>Jennifer</t>
  </si>
  <si>
    <t>Nithy</t>
  </si>
  <si>
    <t>Sundar</t>
  </si>
  <si>
    <t>Sandheep Dhamle</t>
  </si>
  <si>
    <t>Starting Today</t>
  </si>
  <si>
    <t>Finalized</t>
  </si>
  <si>
    <t>Prasada lakshmi</t>
  </si>
  <si>
    <t xml:space="preserve">Sweta Singh </t>
  </si>
  <si>
    <t>Suganya</t>
  </si>
  <si>
    <t>Jegadhish</t>
  </si>
  <si>
    <t>Alagu</t>
  </si>
  <si>
    <t>No KT needed</t>
  </si>
  <si>
    <t>NA</t>
  </si>
  <si>
    <t xml:space="preserve"> Dilli</t>
  </si>
  <si>
    <t>Rommel</t>
  </si>
  <si>
    <t>Selva</t>
  </si>
  <si>
    <t>Clinical - UM</t>
  </si>
  <si>
    <t>Ata</t>
  </si>
  <si>
    <t>Swathi Kodumuru</t>
  </si>
  <si>
    <t>Clinical - CM</t>
  </si>
  <si>
    <t>Vidyulatha</t>
  </si>
  <si>
    <t>Mahesh Kumar</t>
  </si>
  <si>
    <t>AI Testing</t>
  </si>
  <si>
    <t>Sathish</t>
  </si>
  <si>
    <t>Radhika</t>
  </si>
  <si>
    <t>Sangeetha</t>
  </si>
  <si>
    <t>Amit Verma/Srini</t>
  </si>
  <si>
    <t>QE Architect</t>
  </si>
  <si>
    <t>Mohan R</t>
  </si>
  <si>
    <t>QE SME</t>
  </si>
  <si>
    <t>Hariharan Krishnaraj</t>
  </si>
  <si>
    <t>AI Advisory</t>
  </si>
  <si>
    <t>Naveen Krishnamurthy</t>
  </si>
  <si>
    <t>Healthcare SME</t>
  </si>
  <si>
    <t>Illamathy En</t>
  </si>
  <si>
    <t>AI Lead</t>
  </si>
  <si>
    <t>Ansiya Thangal Kunju</t>
  </si>
  <si>
    <t>AI Builders</t>
  </si>
  <si>
    <t>Kruthika Ganesan / Sowmya Sridhar / Aaditya Nayar</t>
  </si>
  <si>
    <t>Domain / Area</t>
  </si>
  <si>
    <t>Onshore</t>
  </si>
  <si>
    <t>Offshore</t>
  </si>
  <si>
    <t>Kalai Mani (10/12)</t>
  </si>
  <si>
    <t xml:space="preserve">Mani </t>
  </si>
  <si>
    <t xml:space="preserve"> Selected</t>
  </si>
  <si>
    <t>Screened (30-Sep)</t>
  </si>
  <si>
    <t>Daniel Franklin</t>
  </si>
  <si>
    <t>Beula (Interview pending)</t>
  </si>
  <si>
    <t>🟢 Selected</t>
  </si>
  <si>
    <t>Interview Completed (29-Sep) ; 
Business Interview Completed on 30-Sep</t>
  </si>
  <si>
    <t>Tanmaya</t>
  </si>
  <si>
    <t>Nithi</t>
  </si>
  <si>
    <t>🔴 Rejected</t>
  </si>
  <si>
    <t>Interview Completed (28-Sep)</t>
  </si>
  <si>
    <t>Encounter</t>
  </si>
  <si>
    <r>
      <t>Mohammed Naeem</t>
    </r>
    <r>
      <rPr>
        <sz val="12"/>
        <color rgb="FF000000"/>
        <rFont val="Aptos Narrow"/>
        <family val="2"/>
      </rPr>
      <t xml:space="preserve"> 🔴 Rejected</t>
    </r>
  </si>
  <si>
    <t>⚪</t>
  </si>
  <si>
    <r>
      <t>Megala Kumar</t>
    </r>
    <r>
      <rPr>
        <sz val="12"/>
        <color rgb="FF000000"/>
        <rFont val="Aptos Narrow"/>
        <family val="2"/>
      </rPr>
      <t xml:space="preserve"> 🟡 Waitlist</t>
    </r>
  </si>
  <si>
    <r>
      <t>Dhanesh</t>
    </r>
    <r>
      <rPr>
        <sz val="12"/>
        <color rgb="FF000000"/>
        <rFont val="Aptos Narrow"/>
        <family val="2"/>
      </rPr>
      <t xml:space="preserve"> 🔵 Profile Under Review</t>
    </r>
  </si>
  <si>
    <t>Clinical</t>
  </si>
  <si>
    <r>
      <t>Megala Kumar</t>
    </r>
    <r>
      <rPr>
        <sz val="12"/>
        <color rgb="FF000000"/>
        <rFont val="Aptos Narrow"/>
        <family val="2"/>
      </rPr>
      <t xml:space="preserve"> 🔴 Rejected</t>
    </r>
  </si>
  <si>
    <r>
      <t>Swathi</t>
    </r>
    <r>
      <rPr>
        <sz val="12"/>
        <color rgb="FF000000"/>
        <rFont val="Aptos Narrow"/>
        <family val="2"/>
      </rPr>
      <t xml:space="preserve"> 🟢 Selected</t>
    </r>
  </si>
  <si>
    <r>
      <t>Vidhyulatha</t>
    </r>
    <r>
      <rPr>
        <sz val="12"/>
        <color rgb="FF000000"/>
        <rFont val="Aptos Narrow"/>
        <family val="2"/>
      </rPr>
      <t xml:space="preserve"> 🔴 Rejected</t>
    </r>
  </si>
  <si>
    <t>Cross Product</t>
  </si>
  <si>
    <r>
      <t>Maheshkumar Reddy</t>
    </r>
    <r>
      <rPr>
        <sz val="12"/>
        <color rgb="FF000000"/>
        <rFont val="Aptos Narrow"/>
        <family val="2"/>
      </rPr>
      <t xml:space="preserve"> 🟢 Selected</t>
    </r>
  </si>
  <si>
    <r>
      <t>Danesh</t>
    </r>
    <r>
      <rPr>
        <sz val="12"/>
        <color rgb="FF000000"/>
        <rFont val="Aptos Narrow"/>
        <family val="2"/>
      </rPr>
      <t xml:space="preserve"> 🔴 Rejected</t>
    </r>
  </si>
  <si>
    <r>
      <t>Prasada Lakshmi</t>
    </r>
    <r>
      <rPr>
        <sz val="12"/>
        <color rgb="FF000000"/>
        <rFont val="Aptos Narrow"/>
        <family val="2"/>
      </rPr>
      <t xml:space="preserve"> 🔵 Profile Shared for Review</t>
    </r>
  </si>
  <si>
    <t>PE</t>
  </si>
  <si>
    <r>
      <t>Shiva Prasad</t>
    </r>
    <r>
      <rPr>
        <sz val="12"/>
        <color rgb="FF000000"/>
        <rFont val="Aptos Narrow"/>
        <family val="2"/>
      </rPr>
      <t xml:space="preserve"> 🔴 Rejected</t>
    </r>
  </si>
  <si>
    <t>Hrishikesh</t>
  </si>
  <si>
    <t>Location</t>
  </si>
  <si>
    <t>Candidate</t>
  </si>
  <si>
    <t>Interview Date</t>
  </si>
  <si>
    <t>Process</t>
  </si>
  <si>
    <t>Decision</t>
  </si>
  <si>
    <t>Suganya Balaji</t>
  </si>
  <si>
    <t>Encounter QA Lead</t>
  </si>
  <si>
    <t xml:space="preserve">Megala Kumar </t>
  </si>
  <si>
    <t>Interview Completed</t>
  </si>
  <si>
    <t>Waitlist</t>
  </si>
  <si>
    <t>Jennifer Winders</t>
  </si>
  <si>
    <t>Claims Lead</t>
  </si>
  <si>
    <t>Rejected</t>
  </si>
  <si>
    <t>Rommel Tatel</t>
  </si>
  <si>
    <t>Clinical Lead</t>
  </si>
  <si>
    <t xml:space="preserve">Swathi </t>
  </si>
  <si>
    <t>Selected</t>
  </si>
  <si>
    <t>Cross Product Lead</t>
  </si>
  <si>
    <t>Maheshkumar Reddy</t>
  </si>
  <si>
    <t xml:space="preserve">Mohammed Naeem </t>
  </si>
  <si>
    <t>Christine Huber</t>
  </si>
  <si>
    <t>Enrollment QA Lead</t>
  </si>
  <si>
    <t xml:space="preserve">Daniel Franklin </t>
  </si>
  <si>
    <t>Provider QA Lead</t>
  </si>
  <si>
    <t>Kalai Mani</t>
  </si>
  <si>
    <t>PE Lead</t>
  </si>
  <si>
    <t>Shiva Prasad</t>
  </si>
  <si>
    <t>Manasa</t>
  </si>
  <si>
    <t>Nithyanantham</t>
  </si>
  <si>
    <t>Archana</t>
  </si>
  <si>
    <t>Prasada Lakshmi</t>
  </si>
  <si>
    <t>PE Offshore Lead</t>
  </si>
  <si>
    <t>Renuka</t>
  </si>
  <si>
    <t>Amit Verma</t>
  </si>
  <si>
    <t>Encounters Lead</t>
  </si>
  <si>
    <t>Sweta Singh</t>
  </si>
  <si>
    <t>Beula</t>
  </si>
  <si>
    <t>Raja Sulochana</t>
  </si>
  <si>
    <t>Dinesh</t>
  </si>
  <si>
    <t>Digital Sr Tester</t>
  </si>
  <si>
    <t>Harshith Talam</t>
  </si>
  <si>
    <t>GenAI Engineer</t>
  </si>
  <si>
    <t>Suriya</t>
  </si>
  <si>
    <t>Desmond</t>
  </si>
  <si>
    <t>Claims SAP Lead</t>
  </si>
  <si>
    <t>Srinivas Parisa</t>
  </si>
  <si>
    <t>Digital Lead</t>
  </si>
  <si>
    <t>Srini</t>
  </si>
  <si>
    <t>Provider Sr Tester</t>
  </si>
  <si>
    <t>Madhurima Paturu</t>
  </si>
  <si>
    <t>Claims Sr Tester</t>
  </si>
  <si>
    <t>Saranya Koppuli</t>
  </si>
  <si>
    <t>Enrollment Sr Tester</t>
  </si>
  <si>
    <t>Beula Evangelin</t>
  </si>
  <si>
    <t>First Name</t>
  </si>
  <si>
    <t>Last Name</t>
  </si>
  <si>
    <t>Date of Joining</t>
  </si>
  <si>
    <t>Level</t>
  </si>
  <si>
    <t>Status</t>
  </si>
  <si>
    <t>Healthcare</t>
  </si>
  <si>
    <t>Automation</t>
  </si>
  <si>
    <t>Arunkumar</t>
  </si>
  <si>
    <t>Charles</t>
  </si>
  <si>
    <t>Onsite</t>
  </si>
  <si>
    <t>Plan Preview</t>
  </si>
  <si>
    <t>Ganesha</t>
  </si>
  <si>
    <t>SR</t>
  </si>
  <si>
    <t>Sowjanya</t>
  </si>
  <si>
    <t>Prathi</t>
  </si>
  <si>
    <t>Saravana Bavan</t>
  </si>
  <si>
    <t>Ragamayi</t>
  </si>
  <si>
    <t>Galla</t>
  </si>
  <si>
    <t>Jaganathan Radhakrishnan</t>
  </si>
  <si>
    <t>Gopala Swamy</t>
  </si>
  <si>
    <t>Kanda</t>
  </si>
  <si>
    <t>Gomathi</t>
  </si>
  <si>
    <t>Manogaran</t>
  </si>
  <si>
    <t>Vanitha</t>
  </si>
  <si>
    <t>Thangathurai</t>
  </si>
  <si>
    <t>V</t>
  </si>
  <si>
    <t>Nalluri</t>
  </si>
  <si>
    <t>Manohar</t>
  </si>
  <si>
    <t>Vijaya</t>
  </si>
  <si>
    <t>Vemula</t>
  </si>
  <si>
    <t>Berin</t>
  </si>
  <si>
    <t>Jeio K C</t>
  </si>
  <si>
    <t>Dillikumar</t>
  </si>
  <si>
    <t>R</t>
  </si>
  <si>
    <t>Manikandan</t>
  </si>
  <si>
    <t>Balasubramani</t>
  </si>
  <si>
    <t>Bhavya</t>
  </si>
  <si>
    <t>BC</t>
  </si>
  <si>
    <t>Selva Ganesh</t>
  </si>
  <si>
    <t>Murugadoss</t>
  </si>
  <si>
    <t>Alaguraja</t>
  </si>
  <si>
    <t>Muthu</t>
  </si>
  <si>
    <t>Vaitheeswaran</t>
  </si>
  <si>
    <t>Sundararaj</t>
  </si>
  <si>
    <t>Balaji</t>
  </si>
  <si>
    <t>Selvaraj</t>
  </si>
  <si>
    <t>Abhishek</t>
  </si>
  <si>
    <t>Gadwal R K</t>
  </si>
  <si>
    <t>Chandrakanth</t>
  </si>
  <si>
    <t>Pitchika</t>
  </si>
  <si>
    <t xml:space="preserve">Maheshkumar </t>
  </si>
  <si>
    <t>Reddy</t>
  </si>
  <si>
    <t>SharedServices-CrossProduct</t>
  </si>
  <si>
    <t>Hyderabad, Telangana</t>
  </si>
  <si>
    <t>Enrollment/ Prior Auth</t>
  </si>
  <si>
    <t>Selenium</t>
  </si>
  <si>
    <t>Kodumuru</t>
  </si>
  <si>
    <t>Care Management - Guiding Care/ EDI</t>
  </si>
  <si>
    <t>Selenium / Playwright</t>
  </si>
  <si>
    <t>Evangelin</t>
  </si>
  <si>
    <t>Chennai, Tamil Nadu</t>
  </si>
  <si>
    <t>Tosca</t>
  </si>
  <si>
    <t xml:space="preserve">Rani </t>
  </si>
  <si>
    <t>K</t>
  </si>
  <si>
    <t>Selenium / Tosca / Python</t>
  </si>
  <si>
    <t xml:space="preserve">Deepak </t>
  </si>
  <si>
    <t>P</t>
  </si>
  <si>
    <t>Bengaluru, Karnataka</t>
  </si>
  <si>
    <t>Enrollment/ EDI</t>
  </si>
  <si>
    <t>Playwright</t>
  </si>
  <si>
    <t xml:space="preserve">Saurav </t>
  </si>
  <si>
    <t>Patil</t>
  </si>
  <si>
    <t>Pune, Maharashtra</t>
  </si>
  <si>
    <t>Claims/ Benefits</t>
  </si>
  <si>
    <t>Playwright / JavaScript / TypeScript</t>
  </si>
  <si>
    <t xml:space="preserve">Manasa </t>
  </si>
  <si>
    <t>Malisetti</t>
  </si>
  <si>
    <t>Enrollment/ Encounter</t>
  </si>
  <si>
    <t>Bangalore, Karnataka</t>
  </si>
  <si>
    <t>Medicaid and medicare</t>
  </si>
  <si>
    <t xml:space="preserve">Rajasulochana </t>
  </si>
  <si>
    <t>Pandiyarajan </t>
  </si>
  <si>
    <t xml:space="preserve">Alpana </t>
  </si>
  <si>
    <t>Rakshit</t>
  </si>
  <si>
    <t>Vadodara, Gujarat</t>
  </si>
  <si>
    <t xml:space="preserve">Saranya </t>
  </si>
  <si>
    <t>Claims / Benefits / Accumulators</t>
  </si>
  <si>
    <t>SharedServices-AI Testing</t>
  </si>
  <si>
    <t>Sandeep</t>
  </si>
  <si>
    <t>Dhamale</t>
  </si>
  <si>
    <t>Mumbai, Maharashtra</t>
  </si>
  <si>
    <t>Claims / EDI</t>
  </si>
  <si>
    <t>Selenium/ Playwright/ Typesript</t>
  </si>
  <si>
    <t>SharedServices-GenAI Team{Foundational Build)</t>
  </si>
  <si>
    <t xml:space="preserve">Santhi </t>
  </si>
  <si>
    <t>Mindi</t>
  </si>
  <si>
    <t>Bhubaneshwar, Odisha</t>
  </si>
  <si>
    <t>Medicaid / Claims / EDI</t>
  </si>
  <si>
    <t>Playwright / Selenium</t>
  </si>
  <si>
    <t>SharedServices-TDM</t>
  </si>
  <si>
    <t xml:space="preserve">Kiran </t>
  </si>
  <si>
    <t>D</t>
  </si>
  <si>
    <t>Platform Enablement</t>
  </si>
  <si>
    <t xml:space="preserve">Swetha </t>
  </si>
  <si>
    <t>Singh</t>
  </si>
  <si>
    <t>Medicaid / Enrollment &amp; Eligibility</t>
  </si>
  <si>
    <t>Selenium / Playwright / Tosca</t>
  </si>
  <si>
    <t>Kousalya</t>
  </si>
  <si>
    <t>Sarathy</t>
  </si>
  <si>
    <t>Enrollment &amp; Eligibility</t>
  </si>
  <si>
    <t xml:space="preserve">Radhakrishnan </t>
  </si>
  <si>
    <t>Kumaravel</t>
  </si>
  <si>
    <t xml:space="preserve">Bhargavi </t>
  </si>
  <si>
    <t>Nichenamatla</t>
  </si>
  <si>
    <t xml:space="preserve">Renganathan </t>
  </si>
  <si>
    <t xml:space="preserve">Rahul </t>
  </si>
  <si>
    <t>Macherla</t>
  </si>
  <si>
    <t>Gowda</t>
  </si>
  <si>
    <t xml:space="preserve">Ramya </t>
  </si>
  <si>
    <t>Bhat</t>
  </si>
  <si>
    <t>Ravichandran</t>
  </si>
  <si>
    <t>Prasada</t>
  </si>
  <si>
    <t>Lakshmi</t>
  </si>
  <si>
    <t>Vidyulutha</t>
  </si>
  <si>
    <t>Mareddy</t>
  </si>
  <si>
    <t xml:space="preserve">Tanmaya </t>
  </si>
  <si>
    <t>Bisoi</t>
  </si>
  <si>
    <t xml:space="preserve">Daniel </t>
  </si>
  <si>
    <t>Franklin</t>
  </si>
  <si>
    <t>Madhurima</t>
  </si>
  <si>
    <t>Astha</t>
  </si>
  <si>
    <t>Agrawal</t>
  </si>
  <si>
    <t>Ghaziabad, Uttar Pradesh</t>
  </si>
  <si>
    <t>Playwright / TypeScript / Selenium</t>
  </si>
  <si>
    <t xml:space="preserve">Aditya </t>
  </si>
  <si>
    <t xml:space="preserve">Srivatsava </t>
  </si>
  <si>
    <t>AI</t>
  </si>
  <si>
    <t>Rameswari</t>
  </si>
  <si>
    <t>Selenium / Python</t>
  </si>
  <si>
    <t>Kalvarayan</t>
  </si>
  <si>
    <t>Balamurugan</t>
  </si>
  <si>
    <t>Ranjeet</t>
  </si>
  <si>
    <t>Kasetty</t>
  </si>
  <si>
    <t>Rode</t>
  </si>
  <si>
    <t>Jakeer Hussain</t>
  </si>
  <si>
    <t>N</t>
  </si>
  <si>
    <t>Anshi</t>
  </si>
  <si>
    <t>Kumari</t>
  </si>
  <si>
    <t>Harshini</t>
  </si>
  <si>
    <t>Coimbatore, Tamil Nadu</t>
  </si>
  <si>
    <t>Playwright with JavaScript</t>
  </si>
  <si>
    <t xml:space="preserve">Parameshwaran </t>
  </si>
  <si>
    <t>Karur, Tamil Nadu</t>
  </si>
  <si>
    <t>Enrollment &amp; Claim</t>
  </si>
  <si>
    <t>Playwright with Typescript</t>
  </si>
  <si>
    <t xml:space="preserve">Mohanraj </t>
  </si>
  <si>
    <t>Palanisamy</t>
  </si>
  <si>
    <t>Selenium/ Playwright/ Java/ javascript</t>
  </si>
  <si>
    <t xml:space="preserve">Mohammed </t>
  </si>
  <si>
    <t xml:space="preserve">Ismail </t>
  </si>
  <si>
    <t xml:space="preserve">Aravindh </t>
  </si>
  <si>
    <t>Claims, EDI 837I, EDI 837P, Encounters</t>
  </si>
  <si>
    <t>Selenium/ Java</t>
  </si>
  <si>
    <t xml:space="preserve">Vasiharan </t>
  </si>
  <si>
    <t>Suresh</t>
  </si>
  <si>
    <t>Playwright with Java, Selenium with Java</t>
  </si>
  <si>
    <t xml:space="preserve">Kiruthika </t>
  </si>
  <si>
    <t>Guruswamy</t>
  </si>
  <si>
    <t>Paturu</t>
  </si>
  <si>
    <t>Harshith</t>
  </si>
  <si>
    <t>Talam</t>
  </si>
  <si>
    <t>Eluru, Andhra Pradesh</t>
  </si>
  <si>
    <t>Mehraj</t>
  </si>
  <si>
    <t>Banglewale</t>
  </si>
  <si>
    <t>Amit</t>
  </si>
  <si>
    <t>Verma</t>
  </si>
  <si>
    <t>Srinu</t>
  </si>
  <si>
    <t>Karnati</t>
  </si>
  <si>
    <t>Meena</t>
  </si>
  <si>
    <t>Penumatsa</t>
  </si>
  <si>
    <t>Ravi</t>
  </si>
  <si>
    <t>Sharmilee</t>
  </si>
  <si>
    <t>DeviPrasath</t>
  </si>
  <si>
    <t>Athira</t>
  </si>
  <si>
    <t>Muganth</t>
  </si>
  <si>
    <t>Udistara Varma</t>
  </si>
  <si>
    <t>Vegeshna</t>
  </si>
  <si>
    <t>Annapoorani</t>
  </si>
  <si>
    <t>Yamuna</t>
  </si>
  <si>
    <t>Athivaram</t>
  </si>
  <si>
    <t>Mayuri</t>
  </si>
  <si>
    <t>Patode</t>
  </si>
  <si>
    <t>Pending</t>
  </si>
  <si>
    <t>EQE KT PLAN — CareSource</t>
  </si>
  <si>
    <t>Highlevel</t>
  </si>
  <si>
    <t>Stage</t>
  </si>
  <si>
    <t>What happens</t>
  </si>
  <si>
    <t>Exit evidence</t>
  </si>
  <si>
    <t>Plan</t>
  </si>
  <si>
    <t>Confirm mentor↔mentee, access, schedule, questionnaire issued</t>
  </si>
  <si>
    <t>Signed per-app KT schedule + access confirmed</t>
  </si>
  <si>
    <t>Knowledge Acquisition</t>
  </si>
  <si>
    <t>Incumbent-led sessions across 14 knowledge areas; draft Understanding Doc</t>
  </si>
  <si>
    <t>KA Coverage green; doc reviewed by CareSource</t>
  </si>
  <si>
    <t>Shadow</t>
  </si>
  <si>
    <t>Observe live testing/triage; incumbent still owns the work</t>
  </si>
  <si>
    <t>Shadow log, drafted SOPs, automation backlog, KM-gap list</t>
  </si>
  <si>
    <t>Reverse-KT / Reverse-Shadow</t>
  </si>
  <si>
    <t>Ascendion does the work and teaches it back; incumbent scores</t>
  </si>
  <si>
    <t>Transition Effectiveness ≥ 80%</t>
  </si>
  <si>
    <t>Stabilization</t>
  </si>
  <si>
    <t>Run day-to-day with on-call incumbent support only</t>
  </si>
  <si>
    <t>Steady-State Readiness ≥ 80%</t>
  </si>
  <si>
    <t>Steady-State</t>
  </si>
  <si>
    <t>Full ownership; incumbent rolls off this app</t>
  </si>
  <si>
    <t>Phase-gate sign-off + rolloff authorized</t>
  </si>
  <si>
    <t>Phase calendar</t>
  </si>
  <si>
    <t>Phase</t>
  </si>
  <si>
    <t>Window (dates from original - needs change)</t>
  </si>
  <si>
    <t>KT activity</t>
  </si>
  <si>
    <t>0 — Pre-Planning</t>
  </si>
  <si>
    <t>Access/BGV in flight, mentors named, questionnaire issued to Incumbant</t>
  </si>
  <si>
    <t>1 — Knowledge Acquisition</t>
  </si>
  <si>
    <r>
      <t xml:space="preserve">KA across </t>
    </r>
    <r>
      <rPr>
        <sz val="11"/>
        <color rgb="FFFF0000"/>
        <rFont val="Calibri (Body)"/>
      </rPr>
      <t>14 areas</t>
    </r>
    <r>
      <rPr>
        <sz val="11"/>
        <color theme="1"/>
        <rFont val="Calibri"/>
        <family val="2"/>
        <scheme val="minor"/>
      </rPr>
      <t>; Understanding Docs drafted &amp; reviewed</t>
    </r>
  </si>
  <si>
    <t>2 — Shadow / Reverse-Shadow</t>
  </si>
  <si>
    <t>shadow then reverse-KT; Transition Effectiveness scored</t>
  </si>
  <si>
    <t>3 — Stabilization</t>
  </si>
  <si>
    <t>independent run; Steady-State Readiness scored; takeover &amp; rolloff (gated)</t>
  </si>
  <si>
    <t>4 — Steady-State</t>
  </si>
  <si>
    <t>BAU</t>
  </si>
  <si>
    <t>APP &amp; WAVE SCOPE</t>
  </si>
  <si>
    <t>#</t>
  </si>
  <si>
    <t>Application</t>
  </si>
  <si>
    <t>Criticality</t>
  </si>
  <si>
    <t>High Touch</t>
  </si>
  <si>
    <t>Incumbent (Mentor anchor)</t>
  </si>
  <si>
    <t>Ascendion Mentee lead</t>
  </si>
  <si>
    <t>Single-person dep risk</t>
  </si>
  <si>
    <t>Backup mentee</t>
  </si>
  <si>
    <t>KT status</t>
  </si>
  <si>
    <t>No</t>
  </si>
  <si>
    <t>Med</t>
  </si>
  <si>
    <t>TBD</t>
  </si>
  <si>
    <t>Not started</t>
  </si>
  <si>
    <t>High</t>
  </si>
  <si>
    <t>KNOWLEDGE ACQUISITION — 14 AREAS × APP</t>
  </si>
  <si>
    <t>App</t>
  </si>
  <si>
    <t>Knowledge area</t>
  </si>
  <si>
    <t>Est. hrs</t>
  </si>
  <si>
    <t>Mentor (Incumbant)</t>
  </si>
  <si>
    <t>Mentee (Ascendion)</t>
  </si>
  <si>
    <t>Planned start</t>
  </si>
  <si>
    <t>Planned end</t>
  </si>
  <si>
    <t>% complete</t>
  </si>
  <si>
    <t>Understanding doc?</t>
  </si>
  <si>
    <t>Comments</t>
  </si>
  <si>
    <t>▸ Claims</t>
  </si>
  <si>
    <t>1</t>
  </si>
  <si>
    <t>Application overview</t>
  </si>
  <si>
    <t>2</t>
  </si>
  <si>
    <t>Solution architecture</t>
  </si>
  <si>
    <t>3</t>
  </si>
  <si>
    <t>Functionality &amp; features</t>
  </si>
  <si>
    <t>4</t>
  </si>
  <si>
    <t>Upstream/downstream integration &amp; environments</t>
  </si>
  <si>
    <t>5</t>
  </si>
  <si>
    <t>Test strategy &amp; master suite</t>
  </si>
  <si>
    <t>6</t>
  </si>
  <si>
    <t>Regression suite</t>
  </si>
  <si>
    <t>7</t>
  </si>
  <si>
    <t>Defect management (+ SLAs: S1 24h / S2 48h / S3 72h)</t>
  </si>
  <si>
    <t>8</t>
  </si>
  <si>
    <t>Test data management</t>
  </si>
  <si>
    <t>9</t>
  </si>
  <si>
    <t>Automation (framework, coverage, backlog)</t>
  </si>
  <si>
    <t>10</t>
  </si>
  <si>
    <t>Recent projects (last 12 months)</t>
  </si>
  <si>
    <t>11</t>
  </si>
  <si>
    <t>Inflight projects</t>
  </si>
  <si>
    <t>12</t>
  </si>
  <si>
    <t>Peak / open-enrollment-specific testing</t>
  </si>
  <si>
    <t>13</t>
  </si>
  <si>
    <t>Metrics &amp; governance</t>
  </si>
  <si>
    <t>14</t>
  </si>
  <si>
    <t>Business stakeholders</t>
  </si>
  <si>
    <t xml:space="preserve">▸ Encounter </t>
  </si>
  <si>
    <t xml:space="preserve">▸ Enrollment </t>
  </si>
  <si>
    <t xml:space="preserve">▸ Provider </t>
  </si>
  <si>
    <t xml:space="preserve">▸ TDM </t>
  </si>
  <si>
    <t>INCUMBENT DISCOVERY QUESTIONNAIRE</t>
  </si>
  <si>
    <t>Category</t>
  </si>
  <si>
    <t>Question for incumbent</t>
  </si>
  <si>
    <t>Response</t>
  </si>
  <si>
    <t>Doc / link provided</t>
  </si>
  <si>
    <t>Follow-up</t>
  </si>
  <si>
    <t>Release Management</t>
  </si>
  <si>
    <t>Provide the release calendar by domain/app (waterfall vs agile) and sprint timelines.</t>
  </si>
  <si>
    <t>Who coordinates releases; what docs are provided per release cycle?</t>
  </si>
  <si>
    <t>Are testers involved in prod cutover, checkout, warranty testing?</t>
  </si>
  <si>
    <t>How are lessons-learnt / retrospectives captured per release/sprint?</t>
  </si>
  <si>
    <t>Formal change/scope-management process during test execution?</t>
  </si>
  <si>
    <t>Process for urgent break-fixes / e-fixes / ad-hoc releases (timeline)?</t>
  </si>
  <si>
    <t>Environment &amp; Data</t>
  </si>
  <si>
    <t>Enterprise environment strategy / path-to-production doc?</t>
  </si>
  <si>
    <t>Test environments per test type (SIT, E2E, UAT)?</t>
  </si>
  <si>
    <t>Recurring environment/infra challenges (access, refresh, downtime)?</t>
  </si>
  <si>
    <t>Data-refresh activities in lower environments and their timing?</t>
  </si>
  <si>
    <t>Access request model per environment / by role?</t>
  </si>
  <si>
    <t>Pre-prod / prod (read-only) access rules for on/offshore?</t>
  </si>
  <si>
    <t>TDM responsibility — central team vs test team; data-masking/PHI rules?</t>
  </si>
  <si>
    <t>KPIs &amp; Metrics</t>
  </si>
  <si>
    <t>Full metric catalog across design, data, execution, defects (see master list).</t>
  </si>
  <si>
    <t>How is each metric captured — manual vs tool-automated (ALM/JIRA/Tableau)?</t>
  </si>
  <si>
    <t>Calculation/formula for each KPI.</t>
  </si>
  <si>
    <t>Reporting frequency, report copies, and stakeholder distribution.</t>
  </si>
  <si>
    <t>CI process when a KPI/metric misses target (RCA, tracking).</t>
  </si>
  <si>
    <t>Test Design &amp; Exec</t>
  </si>
  <si>
    <t>Testers' involvement in requirements/story grooming.</t>
  </si>
  <si>
    <t>Uniform test-case template across apps? Share it.</t>
  </si>
  <si>
    <t>Risk/issue/dependency (RAID) process and tooling.</t>
  </si>
  <si>
    <t>Review &amp; approval process for functional/system test cases.</t>
  </si>
  <si>
    <t>Testers' role in design-doc review/sign-off.</t>
  </si>
  <si>
    <t>Testers' role in unit-test coverage/results approval.</t>
  </si>
  <si>
    <t>How are results captured and to whom communicated?</t>
  </si>
  <si>
    <t>Requirements-traceability process for manual + automated cases.</t>
  </si>
  <si>
    <t>Entry/exit criteria per test phase — share checklist.</t>
  </si>
  <si>
    <t>Estimation</t>
  </si>
  <si>
    <t>Standard estimation template (waterfall + agile).</t>
  </si>
  <si>
    <t>Are test estimates in the ALM/JIRA tool pre-sprint? Walk through.</t>
  </si>
  <si>
    <t>Defect Management</t>
  </si>
  <si>
    <t>Standard defect tool + process walkthrough.</t>
  </si>
  <si>
    <t>Defect severity guidelines and resolution SLAs.</t>
  </si>
  <si>
    <t>Escalation procedure when defect SLAs are missed.</t>
  </si>
  <si>
    <t>How are cross-functional defects managed?</t>
  </si>
  <si>
    <t>Deliverables</t>
  </si>
  <si>
    <t>Standard deliverable set per release — share templates.</t>
  </si>
  <si>
    <t>Do deliverables change by test nature (prod fix / regression / progression)?</t>
  </si>
  <si>
    <t>Sign-off process + RACI per deliverable.</t>
  </si>
  <si>
    <t>Central repository for all deliverables — location?</t>
  </si>
  <si>
    <t>KT SUMMARY STATUS</t>
  </si>
  <si>
    <t>Understanding Doc</t>
  </si>
  <si>
    <t>Reverse-KT</t>
  </si>
  <si>
    <t>Reverse-Shadow</t>
  </si>
  <si>
    <t>Target vs Actuals</t>
  </si>
  <si>
    <t>Transition Effectiveness</t>
  </si>
  <si>
    <t>Steady-State Readiness</t>
  </si>
  <si>
    <t>Takeover-ready</t>
  </si>
  <si>
    <t>Rolloff gate</t>
  </si>
  <si>
    <t>Target gate date</t>
  </si>
  <si>
    <t>0%</t>
  </si>
  <si>
    <t>CLOSED</t>
  </si>
  <si>
    <t>KT METRICS &amp; RAG</t>
  </si>
  <si>
    <t>Metric</t>
  </si>
  <si>
    <t>Formula</t>
  </si>
  <si>
    <t>What it tells us</t>
  </si>
  <si>
    <t>Green</t>
  </si>
  <si>
    <t>Amber</t>
  </si>
  <si>
    <t>Red</t>
  </si>
  <si>
    <t>Role</t>
  </si>
  <si>
    <t>Planned</t>
  </si>
  <si>
    <t>Actual</t>
  </si>
  <si>
    <t>Health</t>
  </si>
  <si>
    <t>KA Session Coverage</t>
  </si>
  <si>
    <t>KA sessions held / planned</t>
  </si>
  <si>
    <t>Coverage of incumbent-led KA vs plan</t>
  </si>
  <si>
    <t>97–103%</t>
  </si>
  <si>
    <t>90–&lt;97% or 103–110%</t>
  </si>
  <si>
    <t>&lt;90% or &gt;110%</t>
  </si>
  <si>
    <t>Leading</t>
  </si>
  <si>
    <t>100%</t>
  </si>
  <si>
    <t>N/A</t>
  </si>
  <si>
    <t>SME Effort Utilization</t>
  </si>
  <si>
    <t>Actual / planned mentor effort</t>
  </si>
  <si>
    <t>Incumbent SME time actually spent vs committed</t>
  </si>
  <si>
    <t>90–110%</t>
  </si>
  <si>
    <t>70–&lt;90% or 110–120%</t>
  </si>
  <si>
    <t>&lt;70% or &gt;120%</t>
  </si>
  <si>
    <t>Weighted reverse-KT + stage-gate feedback score</t>
  </si>
  <si>
    <t>Quality of knowledge absorbed (scored by incumbent+client)</t>
  </si>
  <si>
    <t>≥80%</t>
  </si>
  <si>
    <t>60–&lt;80%</t>
  </si>
  <si>
    <t>&lt;60%</t>
  </si>
  <si>
    <t>GATE</t>
  </si>
  <si>
    <t>KT Documentation Efficiency</t>
  </si>
  <si>
    <t>Mandatory docs delivered / planned</t>
  </si>
  <si>
    <t>Understanding docs, SOPs, runbooks received</t>
  </si>
  <si>
    <t>90–&lt;100%</t>
  </si>
  <si>
    <t>&lt;90%</t>
  </si>
  <si>
    <t>KT Schedule Adherence</t>
  </si>
  <si>
    <t>Actual / planned progress</t>
  </si>
  <si>
    <t>On-track vs the dated KA/shadow plan</t>
  </si>
  <si>
    <t>95–105%</t>
  </si>
  <si>
    <t>85–&lt;95% or 105–115%</t>
  </si>
  <si>
    <t>&lt;85% or &gt;115%</t>
  </si>
  <si>
    <t>KV (Reverse-KT) Session Coverage</t>
  </si>
  <si>
    <t>KV sessions held / planned</t>
  </si>
  <si>
    <t>Coverage of teach-back/reverse-KT vs plan</t>
  </si>
  <si>
    <t>Tasks done independently / total tasks</t>
  </si>
  <si>
    <t>Ability to run BAU without mentor support</t>
  </si>
  <si>
    <t>70–&lt;80%</t>
  </si>
  <si>
    <t>&lt;70%</t>
  </si>
  <si>
    <t>AI Agent readiness ??</t>
  </si>
  <si>
    <t>How ready are the agents from context?</t>
  </si>
  <si>
    <t>PHASE GATES</t>
  </si>
  <si>
    <t>Exit criterion (binary)</t>
  </si>
  <si>
    <t>Met? (Y/N)</t>
  </si>
  <si>
    <t>Evidence / metric</t>
  </si>
  <si>
    <t>Sign-off — CareSource</t>
  </si>
  <si>
    <t>Sign-off — Ascendion</t>
  </si>
  <si>
    <t>Date</t>
  </si>
  <si>
    <t>0 Pre-Planning</t>
  </si>
  <si>
    <t>Named Incumbant mentor + confirmed access for each app</t>
  </si>
  <si>
    <t>Discovery questionnaire issued to incumbent</t>
  </si>
  <si>
    <t>1 KA</t>
  </si>
  <si>
    <t>Understanding Doc drafted &amp; reviewed by CareSource</t>
  </si>
  <si>
    <t>KA Session Coverage green (≥97%)</t>
  </si>
  <si>
    <t>2 Shadow/Reverse</t>
  </si>
  <si>
    <t>Shadow log + SOPs/runbooks + automation backlog delivered</t>
  </si>
  <si>
    <t>3 Stabilization</t>
  </si>
  <si>
    <t>Rolloff authorized — incumbent exits this app</t>
  </si>
  <si>
    <t>4 Steady-State</t>
  </si>
  <si>
    <t>BAU stable; Wave-2 KA started</t>
  </si>
  <si>
    <t>ACCESS &amp; ONBOARDING FUNNEL</t>
  </si>
  <si>
    <t>Name</t>
  </si>
  <si>
    <t>Pod / App</t>
  </si>
  <si>
    <t>Onshore/Offshore</t>
  </si>
  <si>
    <t>BGV clear</t>
  </si>
  <si>
    <t>CareSource ID</t>
  </si>
  <si>
    <t>VM / laptop login</t>
  </si>
  <si>
    <t>Tool access level</t>
  </si>
  <si>
    <t>App groups</t>
  </si>
  <si>
    <t>Ready for KT?</t>
  </si>
  <si>
    <t>L1</t>
  </si>
  <si>
    <t>GOVERNANCE &amp; CADENCE</t>
  </si>
  <si>
    <t>Daily → weekly → phase-gate → monthly/quarterly · feeds Leadership/04_Weekly_Leadership_Governance_Pack.xlsx</t>
  </si>
  <si>
    <t>Cadence</t>
  </si>
  <si>
    <t>Ritual</t>
  </si>
  <si>
    <t>Content</t>
  </si>
  <si>
    <t>Owner</t>
  </si>
  <si>
    <t>Audience</t>
  </si>
  <si>
    <t>Distribution</t>
  </si>
  <si>
    <t>Daily</t>
  </si>
  <si>
    <t>Pod DSR</t>
  </si>
  <si>
    <t>KA/shadow progress, blockers, no-show escalations</t>
  </si>
  <si>
    <t>Pod lead</t>
  </si>
  <si>
    <t>Ascendion + CareSource app owners</t>
  </si>
  <si>
    <t>Email EOD</t>
  </si>
  <si>
    <t>Weekly</t>
  </si>
  <si>
    <t>KT status pack</t>
  </si>
  <si>
    <t>Per-app: KA% · Reverse-KT% · Transition Effectiveness · Steady-State Readiness · rolloff-gate · risks</t>
  </si>
  <si>
    <t>EQE Delivery Lead</t>
  </si>
  <si>
    <t>CareSource steering</t>
  </si>
  <si>
    <t>Deck, weekly</t>
  </si>
  <si>
    <t>Per gate</t>
  </si>
  <si>
    <t>Phase-gate review</t>
  </si>
  <si>
    <t>Binary exit criteria sign-off per app</t>
  </si>
  <si>
    <t>Delivery Lead + CareSource owner</t>
  </si>
  <si>
    <t>Joint</t>
  </si>
  <si>
    <t>Signed gate sheet</t>
  </si>
  <si>
    <t>Monthly</t>
  </si>
  <si>
    <t>Service review</t>
  </si>
  <si>
    <t>Metrics trend, doc efficiency, Wave-2 readiness</t>
  </si>
  <si>
    <t>Delivery Lead</t>
  </si>
  <si>
    <t>CareSource + Ascendion mgmt</t>
  </si>
  <si>
    <t>Deck</t>
  </si>
  <si>
    <t>Quarterly</t>
  </si>
  <si>
    <t>Steering committee</t>
  </si>
  <si>
    <t>Strategic view, AAVA/AI adoption, next-quarter plan</t>
  </si>
  <si>
    <t>Delivery Head</t>
  </si>
  <si>
    <t>Sponsors</t>
  </si>
  <si>
    <t>KT RAID LOG</t>
  </si>
  <si>
    <t>KT-specific risks · assumptions · issues · decisions</t>
  </si>
  <si>
    <t>Type</t>
  </si>
  <si>
    <t>App / scope</t>
  </si>
  <si>
    <t>Description</t>
  </si>
  <si>
    <t>Raised</t>
  </si>
  <si>
    <t>Due</t>
  </si>
  <si>
    <t>Mitigation / decision</t>
  </si>
  <si>
    <t>Risk</t>
  </si>
  <si>
    <t>All</t>
  </si>
  <si>
    <t>Incumbent (Incumbant) SME availability/goodwill during takeover</t>
  </si>
  <si>
    <t>Ongoing</t>
  </si>
  <si>
    <t>Open</t>
  </si>
  <si>
    <t>Named mentors + committed hours in writing; daily no-show escalation</t>
  </si>
  <si>
    <t>Enrollment/Provider/MyLife/Encounter</t>
  </si>
  <si>
    <t>Peak/open-enrollment exposure</t>
  </si>
  <si>
    <t>Peak carve-out + incumbent billable-on-standby through 1st peak intake</t>
  </si>
  <si>
    <t>DELIVERY &amp; Governance POCs</t>
  </si>
  <si>
    <t>App1</t>
  </si>
  <si>
    <t>Client Reporting Manager</t>
  </si>
  <si>
    <t>Incumbent Vendor Contact</t>
  </si>
  <si>
    <t>Incumbent Vendor Lead</t>
  </si>
  <si>
    <t>CareSource SME</t>
  </si>
  <si>
    <t>E-mail</t>
  </si>
  <si>
    <t>App2</t>
  </si>
  <si>
    <t>App3</t>
  </si>
  <si>
    <t>DELIVERY POCs &amp; ESCALATION POINTS</t>
  </si>
  <si>
    <t>Ascendion</t>
  </si>
  <si>
    <t>All Towers</t>
  </si>
  <si>
    <t xml:space="preserve">Primary </t>
  </si>
  <si>
    <t>Service Operation Manager</t>
  </si>
  <si>
    <t>Mobile</t>
  </si>
  <si>
    <t>Work phone</t>
  </si>
  <si>
    <t>CareSource E-mail</t>
  </si>
  <si>
    <t>Ascendion E-mail</t>
  </si>
  <si>
    <t>Row Labels</t>
  </si>
  <si>
    <t>Count of Status</t>
  </si>
  <si>
    <t>Grand Total</t>
  </si>
  <si>
    <t>Focus</t>
  </si>
  <si>
    <t>Candidate profiles by product area</t>
  </si>
  <si>
    <t>Interview and onboarding plan</t>
  </si>
  <si>
    <t>End-to-end transition plan</t>
  </si>
  <si>
    <t>Knowledge-transfer preparation</t>
  </si>
  <si>
    <t>Near-term staffing coverage</t>
  </si>
  <si>
    <t>Contract and SOW</t>
  </si>
  <si>
    <t>Live transition dashboard</t>
  </si>
  <si>
    <t>ADO to track stories - Ascendion will manage</t>
  </si>
  <si>
    <t>Product-area workload and staffing</t>
  </si>
  <si>
    <t>Action Item</t>
  </si>
  <si>
    <t>Candidate profiles shared with respective domain QE Managers by product area; currently under review.</t>
  </si>
  <si>
    <t>SAP Finance, Tools Admin</t>
  </si>
  <si>
    <t>In discussion with domain QE Managers; scheduling in progress. Meeting invites to be sent by EOD Friday.</t>
  </si>
  <si>
    <t>Transition plan shared in Excel format</t>
  </si>
  <si>
    <r>
      <t>Next step:</t>
    </r>
    <r>
      <rPr>
        <sz val="14"/>
        <color rgb="FF212121"/>
        <rFont val="Aptos"/>
      </rPr>
      <t> translate into a live dashboard.</t>
    </r>
  </si>
  <si>
    <t>Live Transition Dashboard</t>
  </si>
  <si>
    <t>Live dashboard to be built in Power BI (Ascendion environment) for on-demand visibility to CareSource management. WIP version available for preview tomorrow; target completion 9/28. A static HTML version will be shared first for feedback before finalizing.</t>
  </si>
  <si>
    <r>
      <t>Dependency on CareSource</t>
    </r>
    <r>
      <rPr>
        <sz val="14"/>
        <color rgb="FF212121"/>
        <rFont val="Aptos"/>
      </rPr>
      <t>: support needed to host the source file in the CareSource environment</t>
    </r>
  </si>
  <si>
    <r>
      <t>a) Accelerated Bootcamp (pre-KT readiness) - </t>
    </r>
    <r>
      <rPr>
        <sz val="14"/>
        <color rgb="FF212121"/>
        <rFont val="Aptos"/>
      </rPr>
      <t>Identified talent going through an accelerated bootcamp training as listed below</t>
    </r>
  </si>
  <si>
    <t>Orientation: Engagement overview, EQE goals, roles &amp; responsibilities</t>
  </si>
  <si>
    <t>Training: Healthcare domain + Playwright refresher sessions</t>
  </si>
  <si>
    <t>Mentorship: SME assigned per domain for tools/process onboarding (ADO, qTest, Confluence, timesheets, access requests, AVD)</t>
  </si>
  <si>
    <t>Knowledge and experience sharing sessions from current domain Leads</t>
  </si>
  <si>
    <t>Periodic progress check-ins on KT readiness</t>
  </si>
  <si>
    <t>b) AI-Assisted KT Enablement</t>
  </si>
  <si>
    <t>Team mobilized to drive the KT process with Self Learning as focus</t>
  </si>
  <si>
    <t>Named individuals identified and assigned to lead this effort, names shared with Individual Managers</t>
  </si>
  <si>
    <t>c) AI-Assisted KT Assets</t>
  </si>
  <si>
    <t>Knowledge agent vectorization + retrieval pipeline (Contextualization layer being built) - indexing GitHub repos and SharePoint documents into a searchable knowledge base</t>
  </si>
  <si>
    <t>Chatbot solution being built on top of the indexed knowledge base for on-demand Q&amp;A</t>
  </si>
  <si>
    <t>Auto-generated documentation from the indexed content, in progress</t>
  </si>
  <si>
    <t>Will require internal fine-tuning to adapt for CareSource’s domain specific context</t>
  </si>
  <si>
    <t>M365 Copilot (Facilitator) to record and summarize KT sessions in Teams, feeding session outputs directly into the knowledge base</t>
  </si>
  <si>
    <t>WIP demo available tomorrow</t>
  </si>
  <si>
    <r>
      <t>CareSource dependency:</t>
    </r>
    <r>
      <rPr>
        <sz val="14"/>
        <color rgb="FF212121"/>
        <rFont val="Aptos"/>
      </rPr>
      <t> AAVA Contextualization service needs to be deployed in the CareSource environment (additional containers required); M365 Copilot license needed for the KT duration</t>
    </r>
  </si>
  <si>
    <t>Key named individuals for Transition initiation across onshore and offshore shared</t>
  </si>
  <si>
    <t>Onboarding and pre-KT for QEs will proceed in waves between Oct 1 and Nov 13, with week-on-week progress updates</t>
  </si>
  <si>
    <t>Base SOW is being drafted by CareSource (Amanda); once received, Ascendion will review and finalize.</t>
  </si>
  <si>
    <t>KT Ready</t>
  </si>
  <si>
    <t>Interview Selected</t>
  </si>
  <si>
    <t>Sharath</t>
  </si>
  <si>
    <t>Ritika</t>
  </si>
  <si>
    <t>Atamgbo</t>
  </si>
  <si>
    <t>Kalyani</t>
  </si>
  <si>
    <t>Ayuwu</t>
  </si>
  <si>
    <t>SAP</t>
  </si>
  <si>
    <t>US</t>
  </si>
  <si>
    <t>Mohammed</t>
  </si>
  <si>
    <t>Irfan Khan J</t>
  </si>
  <si>
    <t>Harisha</t>
  </si>
  <si>
    <t>S</t>
  </si>
  <si>
    <t>Meenakshi Sundaram</t>
  </si>
  <si>
    <t>Murugappa</t>
  </si>
  <si>
    <t>Ashok Kumar</t>
  </si>
  <si>
    <t>Jagan</t>
  </si>
  <si>
    <t>Geentanjali</t>
  </si>
  <si>
    <t>Ascendion Pipeline</t>
  </si>
  <si>
    <t>Figaredo</t>
  </si>
  <si>
    <t>Balsubramanian</t>
  </si>
  <si>
    <t>KT Start Date</t>
  </si>
  <si>
    <t>Steady State</t>
  </si>
  <si>
    <t>Daniel*</t>
  </si>
  <si>
    <t>Tanmay*</t>
  </si>
  <si>
    <t>Ritika Sethi*</t>
  </si>
  <si>
    <t>Kalyani*</t>
  </si>
  <si>
    <t>Not required</t>
  </si>
  <si>
    <t>-</t>
  </si>
  <si>
    <t>Kathiravan</t>
  </si>
  <si>
    <t>Rajeshwari</t>
  </si>
  <si>
    <t>Shukmuniyappa</t>
  </si>
  <si>
    <t>Confidence level from QE Managers</t>
  </si>
  <si>
    <t>Confidence level from Qes</t>
  </si>
  <si>
    <t>KT Completion - Planned</t>
  </si>
  <si>
    <t>KT Completion - Actual</t>
  </si>
  <si>
    <t>Onboarding in Progress</t>
  </si>
  <si>
    <t>Digital tester1</t>
  </si>
  <si>
    <t>Identifying</t>
  </si>
  <si>
    <t>GenAI-Build</t>
  </si>
  <si>
    <t>Digital tester2</t>
  </si>
  <si>
    <t>Purushotham</t>
  </si>
  <si>
    <t>Kovuru</t>
  </si>
  <si>
    <t>Sethi</t>
  </si>
  <si>
    <t>Karthick</t>
  </si>
  <si>
    <t>Login ID Issues</t>
  </si>
  <si>
    <t>Encounters Tester1</t>
  </si>
  <si>
    <t>Encounters Tester2</t>
  </si>
  <si>
    <t>Clinical Tester1</t>
  </si>
  <si>
    <t>Clinical Tester2</t>
  </si>
  <si>
    <t>Not started (10/15)</t>
  </si>
  <si>
    <t>GenAI Build</t>
  </si>
  <si>
    <t>Not Started</t>
  </si>
  <si>
    <t>Digital tester3</t>
  </si>
  <si>
    <t>Digital tester4</t>
  </si>
  <si>
    <t>Digital tester5</t>
  </si>
  <si>
    <t>Digital tester6</t>
  </si>
  <si>
    <t>Digital tester7</t>
  </si>
  <si>
    <t>SAP Tester 1</t>
  </si>
  <si>
    <t>Grishma</t>
  </si>
  <si>
    <t>Gangar</t>
  </si>
  <si>
    <t>CXP</t>
  </si>
  <si>
    <t>Confidence level from EQE(vendor)</t>
  </si>
  <si>
    <t>KT Completion-Target</t>
  </si>
  <si>
    <t>RAG Status</t>
  </si>
  <si>
    <t>SIGN OFF</t>
  </si>
  <si>
    <t>Test</t>
  </si>
  <si>
    <t>Level 4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</si>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</sst>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theme="1"/>
      <name val="Calibri"/>
      <family val="2"/>
      <scheme val="minor"/>
    </font>
    <font>
      <b/>
      <sz val="15"/>
      <color rgb="FFFFFFFF"/>
      <name val="Aptos"/>
    </font>
    <font>
      <i/>
      <sz val="9"/>
      <color rgb="FFFFFFFF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sz val="10"/>
      <color rgb="FF1A1A1A"/>
      <name val="Aptos"/>
    </font>
    <font>
      <b/>
      <sz val="10"/>
      <color rgb="FF1A1A1A"/>
      <name val="Aptos"/>
    </font>
    <font>
      <sz val="10"/>
      <color rgb="FF9C6500"/>
      <name val="Aptos"/>
    </font>
    <font>
      <b/>
      <sz val="10"/>
      <color rgb="FF006100"/>
      <name val="Aptos"/>
    </font>
    <font>
      <b/>
      <sz val="10"/>
      <color rgb="FF9C0006"/>
      <name val="Aptos"/>
    </font>
    <font>
      <sz val="10"/>
      <color rgb="FF006100"/>
      <name val="Aptos"/>
    </font>
    <font>
      <sz val="10"/>
      <color rgb="FF9C0006"/>
      <name val="Aptos"/>
    </font>
    <font>
      <b/>
      <sz val="10"/>
      <color rgb="FF9C6500"/>
      <name val="Aptos"/>
    </font>
    <font>
      <b/>
      <sz val="10"/>
      <color rgb="FF6C2BD9"/>
      <name val="Aptos"/>
    </font>
    <font>
      <sz val="11"/>
      <color rgb="FFFF0000"/>
      <name val="Calibri"/>
      <family val="2"/>
      <scheme val="minor"/>
    </font>
    <font>
      <sz val="10"/>
      <color rgb="FFFF0000"/>
      <name val="Aptos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u/>
      <sz val="9"/>
      <color indexed="12"/>
      <name val="Arial"/>
      <family val="2"/>
    </font>
    <font>
      <sz val="11"/>
      <color rgb="FFFF0000"/>
      <name val="Calibri (Body)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FFFFFF"/>
      <name val="Aptos"/>
    </font>
    <font>
      <b/>
      <sz val="14"/>
      <name val="Apto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12121"/>
      <name val="Aptos"/>
    </font>
    <font>
      <b/>
      <sz val="14"/>
      <color rgb="FF212121"/>
      <name val="Aptos"/>
    </font>
    <font>
      <sz val="9"/>
      <color rgb="FF000000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9"/>
      <name val="Aptos"/>
      <family val="2"/>
    </font>
    <font>
      <sz val="9"/>
      <color rgb="FF1A1A1A"/>
      <name val="Aptos"/>
      <family val="2"/>
    </font>
    <font>
      <b/>
      <sz val="12"/>
      <color rgb="FF000000"/>
      <name val="Aptos Narrow"/>
    </font>
    <font>
      <sz val="12"/>
      <color rgb="FF000000"/>
      <name val="Aptos Narrow"/>
    </font>
    <font>
      <sz val="12"/>
      <color rgb="FF000000"/>
      <name val="Aptos Narrow"/>
      <family val="2"/>
    </font>
    <font>
      <sz val="9"/>
      <color rgb="FFFF0000"/>
      <name val="Aptos"/>
      <family val="2"/>
    </font>
    <font>
      <sz val="9"/>
      <color theme="1"/>
      <name val="Aptos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Aptos"/>
      <family val="2"/>
    </font>
    <font>
      <sz val="9"/>
      <color theme="0"/>
      <name val="Aptos"/>
      <family val="2"/>
    </font>
    <font>
      <i/>
      <sz val="9"/>
      <color rgb="FF000000"/>
      <name val="Aptos"/>
      <family val="2"/>
    </font>
    <font>
      <sz val="9"/>
      <color rgb="FF000000"/>
      <name val="Aptos"/>
    </font>
    <font>
      <b/>
      <sz val="9"/>
      <color rgb="FF000000"/>
      <name val="Aptos"/>
    </font>
    <font>
      <sz val="9"/>
      <color theme="0"/>
      <name val="Aptos"/>
    </font>
    <font>
      <i/>
      <sz val="9"/>
      <color rgb="FF000000"/>
      <name val="Aptos"/>
    </font>
    <font>
      <sz val="9"/>
      <name val="Aptos"/>
    </font>
    <font>
      <sz val="10"/>
      <color rgb="FF1A1A1A"/>
      <name val="Aptos"/>
      <family val="2"/>
    </font>
    <font>
      <b/>
      <sz val="10"/>
      <color rgb="FF9C0006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595959"/>
      </patternFill>
    </fill>
    <fill>
      <patternFill patternType="solid">
        <fgColor rgb="FF6C2BD9"/>
      </patternFill>
    </fill>
    <fill>
      <patternFill patternType="solid">
        <fgColor rgb="FF2B2B2B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indexed="5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6FA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D9D9D9"/>
      </bottom>
      <diagonal/>
    </border>
  </borders>
  <cellStyleXfs count="4">
    <xf numFmtId="0" fontId="0" fillId="0" borderId="0"/>
    <xf numFmtId="0" fontId="16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49" fontId="16" fillId="11" borderId="0" xfId="1" applyNumberFormat="1" applyFill="1" applyAlignment="1">
      <alignment horizontal="center" vertical="center"/>
    </xf>
    <xf numFmtId="0" fontId="16" fillId="0" borderId="0" xfId="1"/>
    <xf numFmtId="0" fontId="18" fillId="12" borderId="3" xfId="1" applyFont="1" applyFill="1" applyBorder="1" applyAlignment="1">
      <alignment horizontal="center" vertical="center" wrapText="1"/>
    </xf>
    <xf numFmtId="0" fontId="18" fillId="13" borderId="3" xfId="1" applyFont="1" applyFill="1" applyBorder="1" applyAlignment="1">
      <alignment horizontal="center" vertical="center" wrapText="1"/>
    </xf>
    <xf numFmtId="49" fontId="18" fillId="13" borderId="3" xfId="1" applyNumberFormat="1" applyFont="1" applyFill="1" applyBorder="1" applyAlignment="1">
      <alignment horizontal="center" vertical="center" wrapText="1"/>
    </xf>
    <xf numFmtId="0" fontId="16" fillId="11" borderId="0" xfId="1" applyFill="1"/>
    <xf numFmtId="0" fontId="16" fillId="11" borderId="3" xfId="1" applyFill="1" applyBorder="1" applyAlignment="1">
      <alignment horizontal="center" vertical="center" wrapText="1"/>
    </xf>
    <xf numFmtId="0" fontId="19" fillId="11" borderId="3" xfId="2" applyFill="1" applyBorder="1" applyAlignment="1">
      <alignment horizontal="center" vertical="center" wrapText="1"/>
    </xf>
    <xf numFmtId="0" fontId="19" fillId="0" borderId="3" xfId="2" applyBorder="1" applyAlignment="1" applyProtection="1">
      <alignment horizontal="center" vertical="center" wrapText="1"/>
    </xf>
    <xf numFmtId="0" fontId="20" fillId="11" borderId="3" xfId="3" applyFill="1" applyBorder="1" applyAlignment="1" applyProtection="1">
      <alignment horizontal="center" vertical="center" wrapText="1"/>
    </xf>
    <xf numFmtId="0" fontId="19" fillId="11" borderId="3" xfId="2" applyFill="1" applyBorder="1" applyAlignment="1" applyProtection="1">
      <alignment horizontal="center" vertical="center" wrapText="1"/>
    </xf>
    <xf numFmtId="49" fontId="19" fillId="11" borderId="3" xfId="2" applyNumberFormat="1" applyFill="1" applyBorder="1" applyAlignment="1">
      <alignment horizontal="center" vertical="center"/>
    </xf>
    <xf numFmtId="49" fontId="16" fillId="11" borderId="0" xfId="1" applyNumberFormat="1" applyFill="1" applyAlignment="1">
      <alignment horizontal="center"/>
    </xf>
    <xf numFmtId="0" fontId="22" fillId="12" borderId="9" xfId="1" applyFont="1" applyFill="1" applyBorder="1" applyAlignment="1">
      <alignment horizontal="center" vertical="center" wrapText="1"/>
    </xf>
    <xf numFmtId="0" fontId="22" fillId="13" borderId="9" xfId="1" applyFont="1" applyFill="1" applyBorder="1" applyAlignment="1">
      <alignment horizontal="center" vertical="center" wrapText="1"/>
    </xf>
    <xf numFmtId="49" fontId="22" fillId="13" borderId="9" xfId="1" applyNumberFormat="1" applyFont="1" applyFill="1" applyBorder="1" applyAlignment="1">
      <alignment horizontal="center" vertical="center" wrapText="1"/>
    </xf>
    <xf numFmtId="0" fontId="22" fillId="13" borderId="10" xfId="1" applyFont="1" applyFill="1" applyBorder="1" applyAlignment="1">
      <alignment horizontal="center" vertical="center" wrapText="1"/>
    </xf>
    <xf numFmtId="0" fontId="23" fillId="11" borderId="11" xfId="1" applyFont="1" applyFill="1" applyBorder="1" applyAlignment="1">
      <alignment horizontal="center" vertical="center" wrapText="1"/>
    </xf>
    <xf numFmtId="49" fontId="22" fillId="13" borderId="12" xfId="1" applyNumberFormat="1" applyFont="1" applyFill="1" applyBorder="1" applyAlignment="1">
      <alignment horizontal="center" vertical="center" wrapText="1"/>
    </xf>
    <xf numFmtId="0" fontId="23" fillId="11" borderId="12" xfId="1" quotePrefix="1" applyFont="1" applyFill="1" applyBorder="1" applyAlignment="1">
      <alignment horizontal="center" vertical="center" wrapText="1"/>
    </xf>
    <xf numFmtId="49" fontId="23" fillId="11" borderId="12" xfId="1" quotePrefix="1" applyNumberFormat="1" applyFont="1" applyFill="1" applyBorder="1" applyAlignment="1">
      <alignment horizontal="center" vertical="center" wrapText="1"/>
    </xf>
    <xf numFmtId="0" fontId="22" fillId="13" borderId="12" xfId="1" applyFont="1" applyFill="1" applyBorder="1" applyAlignment="1">
      <alignment horizontal="center" vertical="center" wrapText="1"/>
    </xf>
    <xf numFmtId="0" fontId="22" fillId="13" borderId="13" xfId="1" applyFont="1" applyFill="1" applyBorder="1" applyAlignment="1">
      <alignment horizontal="center" vertical="center" wrapText="1"/>
    </xf>
    <xf numFmtId="0" fontId="24" fillId="11" borderId="13" xfId="3" applyFont="1" applyFill="1" applyBorder="1" applyAlignment="1" applyProtection="1">
      <alignment horizontal="center" vertical="center" wrapText="1"/>
    </xf>
    <xf numFmtId="0" fontId="26" fillId="0" borderId="0" xfId="0" applyFont="1"/>
    <xf numFmtId="0" fontId="27" fillId="0" borderId="3" xfId="0" applyFont="1" applyBorder="1"/>
    <xf numFmtId="0" fontId="27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left" vertical="center" indent="3"/>
    </xf>
    <xf numFmtId="0" fontId="15" fillId="7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31" fillId="0" borderId="0" xfId="0" applyFont="1"/>
    <xf numFmtId="0" fontId="32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8" fillId="0" borderId="3" xfId="0" applyFont="1" applyBorder="1"/>
    <xf numFmtId="0" fontId="39" fillId="15" borderId="3" xfId="0" applyFont="1" applyFill="1" applyBorder="1"/>
    <xf numFmtId="0" fontId="37" fillId="0" borderId="3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top" wrapText="1"/>
    </xf>
    <xf numFmtId="0" fontId="37" fillId="0" borderId="3" xfId="0" applyFont="1" applyBorder="1"/>
    <xf numFmtId="0" fontId="29" fillId="0" borderId="3" xfId="0" applyFont="1" applyBorder="1"/>
    <xf numFmtId="0" fontId="0" fillId="16" borderId="3" xfId="0" applyFill="1" applyBorder="1" applyAlignment="1">
      <alignment horizontal="center"/>
    </xf>
    <xf numFmtId="0" fontId="26" fillId="0" borderId="3" xfId="0" applyFont="1" applyBorder="1"/>
    <xf numFmtId="16" fontId="0" fillId="0" borderId="3" xfId="0" applyNumberFormat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0" fillId="19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16" fontId="43" fillId="0" borderId="25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24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20" borderId="0" xfId="0" applyFont="1" applyFill="1" applyAlignment="1">
      <alignment horizontal="center" vertical="center"/>
    </xf>
    <xf numFmtId="0" fontId="47" fillId="0" borderId="0" xfId="0" applyFont="1"/>
    <xf numFmtId="0" fontId="48" fillId="0" borderId="3" xfId="0" applyFont="1" applyBorder="1" applyAlignment="1">
      <alignment horizontal="center"/>
    </xf>
    <xf numFmtId="0" fontId="47" fillId="0" borderId="3" xfId="0" applyFont="1" applyBorder="1"/>
    <xf numFmtId="0" fontId="48" fillId="0" borderId="3" xfId="0" applyFont="1" applyBorder="1" applyAlignment="1">
      <alignment horizontal="left" wrapText="1"/>
    </xf>
    <xf numFmtId="0" fontId="47" fillId="0" borderId="3" xfId="0" applyFont="1" applyBorder="1" applyAlignment="1">
      <alignment horizontal="left"/>
    </xf>
    <xf numFmtId="0" fontId="49" fillId="0" borderId="3" xfId="0" applyFont="1" applyBorder="1" applyAlignment="1">
      <alignment horizontal="left"/>
    </xf>
    <xf numFmtId="0" fontId="47" fillId="0" borderId="0" xfId="0" applyFont="1" applyAlignment="1">
      <alignment horizontal="center"/>
    </xf>
    <xf numFmtId="0" fontId="50" fillId="0" borderId="0" xfId="0" applyFont="1"/>
    <xf numFmtId="0" fontId="48" fillId="0" borderId="3" xfId="0" applyFont="1" applyBorder="1" applyAlignment="1">
      <alignment horizontal="left"/>
    </xf>
    <xf numFmtId="0" fontId="51" fillId="0" borderId="3" xfId="0" applyFont="1" applyBorder="1"/>
    <xf numFmtId="0" fontId="51" fillId="0" borderId="3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20" borderId="3" xfId="0" applyFont="1" applyFill="1" applyBorder="1" applyAlignment="1">
      <alignment horizontal="center"/>
    </xf>
    <xf numFmtId="0" fontId="52" fillId="21" borderId="3" xfId="0" applyFont="1" applyFill="1" applyBorder="1" applyAlignment="1">
      <alignment horizontal="center"/>
    </xf>
    <xf numFmtId="0" fontId="52" fillId="17" borderId="3" xfId="0" applyFont="1" applyFill="1" applyBorder="1" applyAlignment="1">
      <alignment horizontal="center"/>
    </xf>
    <xf numFmtId="0" fontId="40" fillId="20" borderId="3" xfId="0" applyFont="1" applyFill="1" applyBorder="1" applyAlignment="1">
      <alignment horizontal="center"/>
    </xf>
    <xf numFmtId="0" fontId="38" fillId="20" borderId="3" xfId="0" applyFont="1" applyFill="1" applyBorder="1" applyAlignment="1">
      <alignment horizontal="center"/>
    </xf>
    <xf numFmtId="0" fontId="37" fillId="0" borderId="3" xfId="0" applyFont="1" applyBorder="1" applyAlignment="1">
      <alignment horizontal="left" vertical="center" indent="3"/>
    </xf>
    <xf numFmtId="0" fontId="53" fillId="22" borderId="3" xfId="0" applyFont="1" applyFill="1" applyBorder="1" applyAlignment="1">
      <alignment horizontal="center"/>
    </xf>
    <xf numFmtId="0" fontId="37" fillId="0" borderId="3" xfId="0" applyFont="1" applyBorder="1" applyAlignment="1">
      <alignment horizontal="left" wrapText="1"/>
    </xf>
    <xf numFmtId="0" fontId="42" fillId="0" borderId="3" xfId="0" applyFont="1" applyBorder="1" applyAlignment="1">
      <alignment horizontal="center" vertical="center"/>
    </xf>
    <xf numFmtId="0" fontId="29" fillId="18" borderId="3" xfId="0" applyFont="1" applyFill="1" applyBorder="1"/>
    <xf numFmtId="0" fontId="27" fillId="18" borderId="3" xfId="0" applyFont="1" applyFill="1" applyBorder="1"/>
    <xf numFmtId="0" fontId="27" fillId="18" borderId="3" xfId="0" applyFont="1" applyFill="1" applyBorder="1" applyAlignment="1">
      <alignment horizontal="left" vertical="center" indent="3"/>
    </xf>
    <xf numFmtId="0" fontId="46" fillId="0" borderId="3" xfId="0" applyFont="1" applyBorder="1"/>
    <xf numFmtId="0" fontId="40" fillId="17" borderId="3" xfId="0" applyFont="1" applyFill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0" fillId="0" borderId="17" xfId="0" applyBorder="1"/>
    <xf numFmtId="16" fontId="0" fillId="0" borderId="17" xfId="0" applyNumberFormat="1" applyBorder="1" applyAlignment="1">
      <alignment horizontal="center" vertical="center"/>
    </xf>
    <xf numFmtId="0" fontId="0" fillId="0" borderId="28" xfId="0" applyBorder="1"/>
    <xf numFmtId="16" fontId="0" fillId="0" borderId="28" xfId="0" applyNumberFormat="1" applyBorder="1" applyAlignment="1">
      <alignment horizontal="center" vertical="center"/>
    </xf>
    <xf numFmtId="0" fontId="0" fillId="0" borderId="29" xfId="0" applyBorder="1"/>
    <xf numFmtId="16" fontId="0" fillId="0" borderId="29" xfId="0" applyNumberFormat="1" applyBorder="1" applyAlignment="1">
      <alignment horizontal="center" vertical="center"/>
    </xf>
    <xf numFmtId="0" fontId="56" fillId="21" borderId="3" xfId="0" applyFont="1" applyFill="1" applyBorder="1" applyAlignment="1">
      <alignment horizontal="center"/>
    </xf>
    <xf numFmtId="0" fontId="57" fillId="22" borderId="3" xfId="0" applyFont="1" applyFill="1" applyBorder="1" applyAlignment="1">
      <alignment horizontal="center"/>
    </xf>
    <xf numFmtId="0" fontId="58" fillId="20" borderId="3" xfId="0" applyFont="1" applyFill="1" applyBorder="1" applyAlignment="1">
      <alignment horizontal="center"/>
    </xf>
    <xf numFmtId="0" fontId="58" fillId="17" borderId="3" xfId="0" applyFont="1" applyFill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40" fillId="20" borderId="17" xfId="0" applyFont="1" applyFill="1" applyBorder="1" applyAlignment="1">
      <alignment horizontal="center" vertical="center"/>
    </xf>
    <xf numFmtId="16" fontId="37" fillId="20" borderId="3" xfId="0" applyNumberFormat="1" applyFont="1" applyFill="1" applyBorder="1" applyAlignment="1">
      <alignment horizontal="center"/>
    </xf>
    <xf numFmtId="16" fontId="58" fillId="20" borderId="3" xfId="0" applyNumberFormat="1" applyFont="1" applyFill="1" applyBorder="1" applyAlignment="1">
      <alignment horizontal="center"/>
    </xf>
    <xf numFmtId="16" fontId="40" fillId="20" borderId="3" xfId="0" applyNumberFormat="1" applyFont="1" applyFill="1" applyBorder="1" applyAlignment="1">
      <alignment horizontal="center"/>
    </xf>
    <xf numFmtId="16" fontId="38" fillId="20" borderId="3" xfId="0" applyNumberFormat="1" applyFont="1" applyFill="1" applyBorder="1" applyAlignment="1">
      <alignment horizontal="center"/>
    </xf>
    <xf numFmtId="16" fontId="47" fillId="0" borderId="3" xfId="0" applyNumberFormat="1" applyFont="1" applyBorder="1" applyAlignment="1">
      <alignment horizontal="left"/>
    </xf>
    <xf numFmtId="16" fontId="54" fillId="20" borderId="3" xfId="0" applyNumberFormat="1" applyFont="1" applyFill="1" applyBorder="1" applyAlignment="1">
      <alignment horizontal="center"/>
    </xf>
    <xf numFmtId="0" fontId="47" fillId="22" borderId="3" xfId="0" applyFont="1" applyFill="1" applyBorder="1" applyAlignment="1">
      <alignment horizontal="left"/>
    </xf>
    <xf numFmtId="0" fontId="47" fillId="22" borderId="3" xfId="0" applyFont="1" applyFill="1" applyBorder="1" applyAlignment="1">
      <alignment horizontal="center"/>
    </xf>
    <xf numFmtId="0" fontId="47" fillId="22" borderId="3" xfId="0" applyFont="1" applyFill="1" applyBorder="1"/>
    <xf numFmtId="0" fontId="49" fillId="22" borderId="3" xfId="0" applyFont="1" applyFill="1" applyBorder="1" applyAlignment="1">
      <alignment horizontal="left"/>
    </xf>
    <xf numFmtId="0" fontId="48" fillId="22" borderId="3" xfId="0" applyFont="1" applyFill="1" applyBorder="1" applyAlignment="1">
      <alignment horizontal="left" wrapText="1"/>
    </xf>
    <xf numFmtId="0" fontId="54" fillId="0" borderId="3" xfId="0" applyFont="1" applyBorder="1" applyAlignment="1">
      <alignment horizontal="left"/>
    </xf>
    <xf numFmtId="16" fontId="45" fillId="20" borderId="3" xfId="0" applyNumberFormat="1" applyFont="1" applyFill="1" applyBorder="1" applyAlignment="1">
      <alignment horizontal="center"/>
    </xf>
    <xf numFmtId="16" fontId="40" fillId="20" borderId="15" xfId="0" applyNumberFormat="1" applyFont="1" applyFill="1" applyBorder="1" applyAlignment="1">
      <alignment horizontal="center" vertical="center"/>
    </xf>
    <xf numFmtId="0" fontId="56" fillId="17" borderId="3" xfId="0" applyFont="1" applyFill="1" applyBorder="1" applyAlignment="1">
      <alignment horizontal="center"/>
    </xf>
    <xf numFmtId="0" fontId="58" fillId="20" borderId="3" xfId="0" applyFont="1" applyFill="1" applyBorder="1" applyAlignment="1">
      <alignment horizontal="center" vertical="center"/>
    </xf>
    <xf numFmtId="0" fontId="46" fillId="21" borderId="3" xfId="0" applyFont="1" applyFill="1" applyBorder="1" applyAlignment="1">
      <alignment horizontal="center"/>
    </xf>
    <xf numFmtId="0" fontId="46" fillId="17" borderId="3" xfId="0" applyFont="1" applyFill="1" applyBorder="1" applyAlignment="1">
      <alignment horizontal="center"/>
    </xf>
    <xf numFmtId="0" fontId="46" fillId="20" borderId="3" xfId="0" applyFont="1" applyFill="1" applyBorder="1" applyAlignment="1">
      <alignment horizontal="center"/>
    </xf>
    <xf numFmtId="0" fontId="41" fillId="0" borderId="30" xfId="0" applyFont="1" applyBorder="1" applyAlignment="1">
      <alignment horizontal="center" vertical="center" wrapText="1"/>
    </xf>
    <xf numFmtId="0" fontId="41" fillId="0" borderId="3" xfId="0" applyFont="1" applyBorder="1" applyAlignment="1">
      <alignment vertical="top" wrapText="1"/>
    </xf>
    <xf numFmtId="0" fontId="39" fillId="15" borderId="3" xfId="0" applyFont="1" applyFill="1" applyBorder="1" applyAlignment="1">
      <alignment vertical="top"/>
    </xf>
    <xf numFmtId="0" fontId="39" fillId="15" borderId="17" xfId="0" applyFont="1" applyFill="1" applyBorder="1" applyAlignment="1">
      <alignment vertical="top"/>
    </xf>
    <xf numFmtId="0" fontId="38" fillId="0" borderId="3" xfId="0" applyFont="1" applyBorder="1" applyAlignment="1">
      <alignment vertical="top"/>
    </xf>
    <xf numFmtId="16" fontId="37" fillId="0" borderId="3" xfId="0" applyNumberFormat="1" applyFont="1" applyBorder="1" applyAlignment="1">
      <alignment horizontal="left" vertical="top" wrapText="1"/>
    </xf>
    <xf numFmtId="0" fontId="39" fillId="0" borderId="3" xfId="0" applyFont="1" applyBorder="1" applyAlignment="1">
      <alignment vertical="top"/>
    </xf>
    <xf numFmtId="0" fontId="38" fillId="0" borderId="16" xfId="0" applyFont="1" applyBorder="1" applyAlignment="1">
      <alignment vertical="top"/>
    </xf>
    <xf numFmtId="0" fontId="41" fillId="0" borderId="3" xfId="0" applyFont="1" applyBorder="1" applyAlignment="1">
      <alignment horizontal="center" vertical="top" wrapText="1"/>
    </xf>
    <xf numFmtId="0" fontId="0" fillId="23" borderId="3" xfId="0" applyFill="1" applyBorder="1" applyAlignment="1">
      <alignment vertical="top" wrapText="1"/>
    </xf>
    <xf numFmtId="14" fontId="0" fillId="0" borderId="0" xfId="0" applyNumberFormat="1"/>
    <xf numFmtId="0" fontId="59" fillId="0" borderId="1" xfId="0" applyFont="1" applyBorder="1" applyAlignment="1">
      <alignment horizontal="center" vertical="center" wrapText="1"/>
    </xf>
    <xf numFmtId="14" fontId="59" fillId="0" borderId="1" xfId="0" applyNumberFormat="1" applyFont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 wrapText="1"/>
    </xf>
    <xf numFmtId="0" fontId="59" fillId="0" borderId="3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1" fillId="0" borderId="0" xfId="0" applyFont="1" applyAlignment="1">
      <alignment vertical="top" wrapText="1"/>
    </xf>
    <xf numFmtId="0" fontId="0" fillId="0" borderId="30" xfId="0" applyBorder="1"/>
    <xf numFmtId="0" fontId="41" fillId="0" borderId="0" xfId="0" applyFont="1" applyAlignment="1">
      <alignment horizontal="center" vertical="center" wrapText="1"/>
    </xf>
    <xf numFmtId="0" fontId="0" fillId="0" borderId="1" xfId="0" applyBorder="1"/>
    <xf numFmtId="0" fontId="5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vertical="top"/>
    </xf>
    <xf numFmtId="0" fontId="0" fillId="0" borderId="0" xfId="0" applyAlignment="1">
      <alignment wrapText="1"/>
    </xf>
    <xf numFmtId="0" fontId="0" fillId="24" borderId="0" xfId="0" applyFill="1"/>
    <xf numFmtId="14" fontId="59" fillId="24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59" fillId="24" borderId="1" xfId="0" applyFont="1" applyFill="1" applyBorder="1" applyAlignment="1">
      <alignment horizontal="center" vertical="center" wrapText="1"/>
    </xf>
    <xf numFmtId="14" fontId="0" fillId="24" borderId="0" xfId="0" applyNumberFormat="1" applyFill="1"/>
    <xf numFmtId="0" fontId="5" fillId="24" borderId="0" xfId="0" applyFont="1" applyFill="1" applyAlignment="1">
      <alignment vertical="top" wrapText="1"/>
    </xf>
    <xf numFmtId="0" fontId="5" fillId="24" borderId="1" xfId="0" applyFont="1" applyFill="1" applyBorder="1" applyAlignment="1">
      <alignment vertical="top" wrapText="1"/>
    </xf>
    <xf numFmtId="9" fontId="59" fillId="24" borderId="1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19" borderId="3" xfId="0" applyFill="1" applyBorder="1" applyAlignment="1">
      <alignment horizontal="center"/>
    </xf>
    <xf numFmtId="0" fontId="0" fillId="19" borderId="3" xfId="0" applyFill="1" applyBorder="1" applyAlignment="1">
      <alignment horizontal="left" vertical="center"/>
    </xf>
    <xf numFmtId="0" fontId="26" fillId="0" borderId="3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7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0" fillId="0" borderId="33" xfId="0" applyBorder="1" applyAlignment="1">
      <alignment horizontal="center"/>
    </xf>
    <xf numFmtId="0" fontId="42" fillId="0" borderId="18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42" fillId="0" borderId="26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17" fillId="10" borderId="2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21" fillId="14" borderId="6" xfId="1" applyFont="1" applyFill="1" applyBorder="1" applyAlignment="1">
      <alignment horizontal="center" vertical="center" wrapText="1"/>
    </xf>
    <xf numFmtId="0" fontId="21" fillId="14" borderId="7" xfId="1" applyFont="1" applyFill="1" applyBorder="1" applyAlignment="1">
      <alignment horizontal="center" vertical="center" wrapText="1"/>
    </xf>
    <xf numFmtId="0" fontId="21" fillId="14" borderId="8" xfId="1" applyFont="1" applyFill="1" applyBorder="1" applyAlignment="1">
      <alignment horizontal="center" vertical="center" wrapText="1"/>
    </xf>
    <xf numFmtId="0" fontId="35" fillId="0" borderId="0" xfId="0" applyFont="1"/>
  </cellXfs>
  <cellStyles count="4">
    <cellStyle name="Hyperlink" xfId="2" builtinId="8"/>
    <cellStyle name="Hyperlink 2" xfId="3" xr:uid="{6A290F56-09C0-AB46-824E-9A23D44170FA}"/>
    <cellStyle name="Normal" xfId="0" builtinId="0"/>
    <cellStyle name="Normal 2" xfId="1" xr:uid="{1A27046C-570A-6D4C-8E88-E66C987D92B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purari Ganesan, Siva Kumar" refreshedDate="46308.568543518515" createdVersion="8" refreshedVersion="8" minRefreshableVersion="3" recordCount="96" xr:uid="{DF530133-1BF2-554B-A610-E0055CB9E872}">
  <cacheSource type="worksheet">
    <worksheetSource ref="A1:G1048576" sheet="Hiring Tracker"/>
  </cacheSource>
  <cacheFields count="7">
    <cacheField name="First Name" numFmtId="0">
      <sharedItems containsBlank="1"/>
    </cacheField>
    <cacheField name="Last Name" numFmtId="0">
      <sharedItems containsBlank="1"/>
    </cacheField>
    <cacheField name="Location" numFmtId="0">
      <sharedItems containsBlank="1"/>
    </cacheField>
    <cacheField name="Date of Joining" numFmtId="0">
      <sharedItems containsDate="1" containsBlank="1" containsMixedTypes="1" minDate="2026-04-01T00:00:00" maxDate="2026-11-27T00:00:00"/>
    </cacheField>
    <cacheField name="Domain" numFmtId="0">
      <sharedItems containsBlank="1"/>
    </cacheField>
    <cacheField name="Level" numFmtId="0">
      <sharedItems containsBlank="1"/>
    </cacheField>
    <cacheField name="Status" numFmtId="0">
      <sharedItems containsBlank="1" count="17">
        <s v="Existing"/>
        <s v="KT Ready"/>
        <s v="Login ID Issues"/>
        <s v="Onboarding in Progress"/>
        <s v="Ascendion Pipeline"/>
        <s v="Interview Selected"/>
        <s v="Identifying"/>
        <m/>
        <s v="Interview Completed" u="1"/>
        <s v="Ready for Onboarding" u="1"/>
        <s v="Ready for Discussion" u="1"/>
        <s v="Interview Scheduled" u="1"/>
        <s v="Ready for KT" u="1"/>
        <s v="Ready To Start" u="1"/>
        <s v="Onboarding" u="1"/>
        <s v="Talent Pool" u="1"/>
        <s v="Benc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Arunkumar"/>
    <s v="Charles"/>
    <s v="Onsite"/>
    <d v="2026-07-01T00:00:00"/>
    <s v="Plan Preview"/>
    <m/>
    <x v="0"/>
  </r>
  <r>
    <s v="Ganesha"/>
    <s v="SR"/>
    <s v="Offshore"/>
    <d v="2026-07-01T00:00:00"/>
    <s v="EDI"/>
    <m/>
    <x v="0"/>
  </r>
  <r>
    <s v="Sowjanya"/>
    <s v="Prathi"/>
    <s v="Offshore"/>
    <d v="2026-07-01T00:00:00"/>
    <s v="EDI"/>
    <m/>
    <x v="0"/>
  </r>
  <r>
    <s v="Jegadhish"/>
    <s v="Saravana Bavan"/>
    <s v="Onsite"/>
    <d v="2026-04-01T00:00:00"/>
    <s v="EDI"/>
    <m/>
    <x v="0"/>
  </r>
  <r>
    <s v="Ragamayi"/>
    <s v="Galla"/>
    <s v="Onsite"/>
    <d v="2026-08-10T00:00:00"/>
    <s v="EDI"/>
    <m/>
    <x v="0"/>
  </r>
  <r>
    <s v="Bhavani"/>
    <s v="Jaganathan Radhakrishnan"/>
    <s v="Onsite"/>
    <d v="2026-04-01T00:00:00"/>
    <s v="Clinical"/>
    <m/>
    <x v="0"/>
  </r>
  <r>
    <s v="Gopala Swamy"/>
    <s v="Kanda"/>
    <s v="Offshore"/>
    <d v="2026-04-01T00:00:00"/>
    <s v="EDI"/>
    <m/>
    <x v="0"/>
  </r>
  <r>
    <s v="Gomathi"/>
    <s v="Manogaran"/>
    <s v="Offshore"/>
    <d v="2026-04-01T00:00:00"/>
    <s v="Clinical"/>
    <m/>
    <x v="0"/>
  </r>
  <r>
    <s v="Vanitha"/>
    <s v="Thangathurai"/>
    <s v="Offshore"/>
    <d v="2026-04-01T00:00:00"/>
    <s v="EDI"/>
    <m/>
    <x v="0"/>
  </r>
  <r>
    <s v="Nithyanantham"/>
    <s v="V"/>
    <s v="Offshore"/>
    <d v="2026-04-01T00:00:00"/>
    <s v="Claims"/>
    <m/>
    <x v="0"/>
  </r>
  <r>
    <s v="Nalluri"/>
    <s v="Manohar"/>
    <s v="Offshore"/>
    <d v="2026-07-01T00:00:00"/>
    <s v="EDI"/>
    <m/>
    <x v="0"/>
  </r>
  <r>
    <s v="Vijaya"/>
    <s v="Vemula"/>
    <s v="Offshore"/>
    <d v="2026-04-01T00:00:00"/>
    <s v="EDI"/>
    <m/>
    <x v="0"/>
  </r>
  <r>
    <s v="Berin"/>
    <s v="Jeio K C"/>
    <s v="Offshore"/>
    <d v="2026-04-01T00:00:00"/>
    <s v="EDI"/>
    <m/>
    <x v="0"/>
  </r>
  <r>
    <s v="Dillikumar"/>
    <s v="R"/>
    <s v="Offshore"/>
    <d v="2026-05-13T00:00:00"/>
    <s v="Encounters"/>
    <m/>
    <x v="0"/>
  </r>
  <r>
    <s v="Manikandan"/>
    <s v="Balasubramani"/>
    <s v="Offshore"/>
    <d v="2026-04-09T00:00:00"/>
    <s v="Provider"/>
    <m/>
    <x v="0"/>
  </r>
  <r>
    <s v="Bhavya"/>
    <s v="BC"/>
    <s v="Offshore"/>
    <d v="2026-05-13T00:00:00"/>
    <s v="Encounters"/>
    <m/>
    <x v="0"/>
  </r>
  <r>
    <s v="Selva Ganesh"/>
    <s v="Murugadoss"/>
    <s v="Offshore"/>
    <d v="2026-04-01T00:00:00"/>
    <s v="Clinical"/>
    <m/>
    <x v="0"/>
  </r>
  <r>
    <s v="Alaguraja"/>
    <s v="Muthu"/>
    <s v="Offshore"/>
    <d v="2026-04-01T00:00:00"/>
    <s v="EDI"/>
    <m/>
    <x v="0"/>
  </r>
  <r>
    <s v="Vaitheeswaran"/>
    <s v="Sundararaj"/>
    <s v="Onsite"/>
    <d v="2026-04-01T00:00:00"/>
    <s v="Provider"/>
    <m/>
    <x v="0"/>
  </r>
  <r>
    <s v="Balaji"/>
    <s v="Selvaraj"/>
    <s v="Offshore"/>
    <d v="2026-07-01T00:00:00"/>
    <s v="Clinical"/>
    <m/>
    <x v="0"/>
  </r>
  <r>
    <s v="Abhishek"/>
    <s v="Gadwal R K"/>
    <s v="Onsite"/>
    <d v="2026-05-04T00:00:00"/>
    <s v="EDI"/>
    <m/>
    <x v="0"/>
  </r>
  <r>
    <s v="Chandrakanth"/>
    <s v="Pitchika"/>
    <s v="Offshore"/>
    <d v="2026-04-01T00:00:00"/>
    <s v="EDI"/>
    <m/>
    <x v="0"/>
  </r>
  <r>
    <s v="Maheshkumar "/>
    <s v="Reddy"/>
    <s v="Offshore"/>
    <d v="2026-10-09T00:00:00"/>
    <s v="SharedServices-CrossProduct"/>
    <s v="Senior"/>
    <x v="1"/>
  </r>
  <r>
    <s v="Swathi "/>
    <s v="Kodumuru"/>
    <s v="Offshore"/>
    <d v="2026-10-09T00:00:00"/>
    <s v="Clinical"/>
    <s v="Lead"/>
    <x v="1"/>
  </r>
  <r>
    <s v="Beula"/>
    <s v="Evangelin"/>
    <s v="Offshore"/>
    <d v="2026-10-09T00:00:00"/>
    <s v="Enrollment"/>
    <s v="Senior"/>
    <x v="1"/>
  </r>
  <r>
    <s v="Rani "/>
    <s v="K"/>
    <s v="Offshore"/>
    <d v="2026-10-09T00:00:00"/>
    <s v="Encounter"/>
    <s v="Senior"/>
    <x v="1"/>
  </r>
  <r>
    <s v="Deepak "/>
    <s v="P"/>
    <s v="Offshore"/>
    <d v="2026-10-09T00:00:00"/>
    <s v="Claims"/>
    <s v="Senior"/>
    <x v="1"/>
  </r>
  <r>
    <s v="Saurav "/>
    <s v="Patil"/>
    <s v="Offshore"/>
    <d v="2026-10-09T00:00:00"/>
    <s v="Claims"/>
    <s v="Senior"/>
    <x v="1"/>
  </r>
  <r>
    <s v="Manasa "/>
    <s v="Malisetti"/>
    <s v="Offshore"/>
    <d v="2026-10-09T00:00:00"/>
    <s v="Encounter"/>
    <s v="Lead"/>
    <x v="2"/>
  </r>
  <r>
    <s v="Rajeshwari"/>
    <s v="Shukmuniyappa"/>
    <s v="Offshore"/>
    <d v="2026-10-14T00:00:00"/>
    <s v="Encounters"/>
    <s v="Level 3"/>
    <x v="3"/>
  </r>
  <r>
    <s v="Rajasulochana "/>
    <s v="Pandiyarajan "/>
    <s v="Offshore"/>
    <d v="2026-10-09T00:00:00"/>
    <s v="Clinical"/>
    <s v="Lead"/>
    <x v="1"/>
  </r>
  <r>
    <s v="Alpana "/>
    <s v="Rakshit"/>
    <s v="Offshore"/>
    <d v="2026-10-09T00:00:00"/>
    <s v="Enrollment"/>
    <s v="Lead"/>
    <x v="1"/>
  </r>
  <r>
    <s v="Saranya "/>
    <s v="K"/>
    <s v="Offshore"/>
    <d v="2026-10-09T00:00:00"/>
    <s v="Claims"/>
    <s v="Intermediate"/>
    <x v="1"/>
  </r>
  <r>
    <s v="Sandeep"/>
    <s v="Dhamale"/>
    <s v="Offshore"/>
    <d v="2026-10-09T00:00:00"/>
    <s v="Digital"/>
    <s v="Lead"/>
    <x v="1"/>
  </r>
  <r>
    <s v="Santhi "/>
    <s v="Mindi"/>
    <s v="Offshore"/>
    <d v="2026-10-09T00:00:00"/>
    <s v="Provider"/>
    <s v="Senior"/>
    <x v="1"/>
  </r>
  <r>
    <s v="Kiran "/>
    <s v="D"/>
    <s v="Offshore"/>
    <d v="2026-10-09T00:00:00"/>
    <s v="Digital"/>
    <s v="Intermediate"/>
    <x v="1"/>
  </r>
  <r>
    <s v="Swetha "/>
    <s v="Singh"/>
    <s v="Offshore"/>
    <d v="2026-10-09T00:00:00"/>
    <s v="Digital"/>
    <s v="Senior"/>
    <x v="1"/>
  </r>
  <r>
    <s v="Kousalya"/>
    <s v="Sarathy"/>
    <s v="Offshore"/>
    <d v="2026-10-09T00:00:00"/>
    <s v="Claims"/>
    <s v="Lead"/>
    <x v="1"/>
  </r>
  <r>
    <s v="Yamuna "/>
    <s v="Athivaram "/>
    <s v="Offshore"/>
    <d v="2026-10-09T00:00:00"/>
    <s v="Enrollment"/>
    <m/>
    <x v="1"/>
  </r>
  <r>
    <s v="Radhakrishnan "/>
    <s v="Kumaravel"/>
    <s v="Offshore"/>
    <d v="2026-10-12T00:00:00"/>
    <m/>
    <m/>
    <x v="4"/>
  </r>
  <r>
    <s v="Bhargavi "/>
    <s v="Nichenamatla"/>
    <s v="Offshore"/>
    <d v="2026-10-15T00:00:00"/>
    <m/>
    <m/>
    <x v="4"/>
  </r>
  <r>
    <s v="Renganathan "/>
    <s v="R"/>
    <s v="Offshore"/>
    <d v="2026-10-15T00:00:00"/>
    <m/>
    <m/>
    <x v="4"/>
  </r>
  <r>
    <s v="Rahul "/>
    <s v="Macherla"/>
    <s v="Offshore"/>
    <d v="2026-10-19T00:00:00"/>
    <m/>
    <m/>
    <x v="4"/>
  </r>
  <r>
    <s v="Abhishek"/>
    <s v="Gowda"/>
    <s v="Offshore"/>
    <d v="2026-10-23T00:00:00"/>
    <m/>
    <m/>
    <x v="4"/>
  </r>
  <r>
    <s v="Ramya "/>
    <s v="Bhat"/>
    <s v="Offshore"/>
    <d v="2026-10-28T00:00:00"/>
    <m/>
    <m/>
    <x v="4"/>
  </r>
  <r>
    <s v="Karthick"/>
    <s v="Ravichandran"/>
    <s v="Offshore"/>
    <d v="2026-10-28T00:00:00"/>
    <m/>
    <m/>
    <x v="4"/>
  </r>
  <r>
    <s v="Prasada"/>
    <s v="Lakshmi"/>
    <s v="Onsite"/>
    <d v="2026-09-28T00:00:00"/>
    <s v="Digital"/>
    <m/>
    <x v="1"/>
  </r>
  <r>
    <s v="Vidyulutha"/>
    <s v="Mareddy"/>
    <s v="Onsite"/>
    <d v="2026-09-28T00:00:00"/>
    <s v="Clinical"/>
    <m/>
    <x v="1"/>
  </r>
  <r>
    <s v="Tanmaya "/>
    <s v="Bisoi"/>
    <s v="Onsite"/>
    <d v="2026-10-22T00:00:00"/>
    <s v="Claims"/>
    <s v="Level 4"/>
    <x v="3"/>
  </r>
  <r>
    <s v="Daniel "/>
    <s v="Franklin"/>
    <s v="Onsite"/>
    <d v="2026-10-26T00:00:00"/>
    <s v="Enrollment"/>
    <s v="Level 4"/>
    <x v="5"/>
  </r>
  <r>
    <s v="Madhurima"/>
    <s v="Puturu"/>
    <s v="Offshore"/>
    <d v="2026-10-09T00:00:00"/>
    <s v="Provider"/>
    <m/>
    <x v="1"/>
  </r>
  <r>
    <s v="Astha"/>
    <s v="Agrawal"/>
    <s v="Offshore"/>
    <d v="2026-10-09T00:00:00"/>
    <s v="Clinical"/>
    <s v="Lead"/>
    <x v="1"/>
  </r>
  <r>
    <s v="Aditya "/>
    <s v="Srivatsava "/>
    <s v="Offshore"/>
    <d v="2026-10-09T00:00:00"/>
    <s v="SharedServices-CrossProduct"/>
    <s v="Junior"/>
    <x v="1"/>
  </r>
  <r>
    <s v="Rameswari"/>
    <s v="R"/>
    <s v="Offshore"/>
    <d v="2026-10-09T00:00:00"/>
    <s v="Encounter"/>
    <s v="Lead"/>
    <x v="1"/>
  </r>
  <r>
    <s v="Annapooranai"/>
    <s v="Kalvarayan"/>
    <s v="Offshore"/>
    <d v="2026-10-09T00:00:00"/>
    <s v="Enrollment"/>
    <m/>
    <x v="1"/>
  </r>
  <r>
    <s v="Kalai Mani"/>
    <s v="Balamurugan"/>
    <s v="Onsite"/>
    <d v="2026-10-12T00:00:00"/>
    <s v="Provider"/>
    <m/>
    <x v="2"/>
  </r>
  <r>
    <s v="Ranjeet"/>
    <s v="Kasetty"/>
    <s v="Onsite"/>
    <d v="2026-09-30T00:00:00"/>
    <s v="TDM"/>
    <m/>
    <x v="0"/>
  </r>
  <r>
    <s v="Hrishikesh"/>
    <s v="Rode"/>
    <s v="Offshore"/>
    <d v="2026-09-30T00:00:00"/>
    <s v="TDM"/>
    <m/>
    <x v="0"/>
  </r>
  <r>
    <s v="Jakeer Hussain"/>
    <s v="N"/>
    <s v="Offshore"/>
    <d v="2026-10-09T00:00:00"/>
    <s v="TDM"/>
    <m/>
    <x v="1"/>
  </r>
  <r>
    <s v="Anshi"/>
    <s v="Kumari"/>
    <s v="Offshore"/>
    <d v="2026-10-09T00:00:00"/>
    <s v="TDM"/>
    <m/>
    <x v="1"/>
  </r>
  <r>
    <s v="Harshini"/>
    <s v="D"/>
    <s v="Offshore"/>
    <d v="2026-10-09T00:00:00"/>
    <s v="Clinical"/>
    <s v="Junior"/>
    <x v="1"/>
  </r>
  <r>
    <s v="Parameshwaran "/>
    <s v="K"/>
    <s v="Offshore"/>
    <d v="2026-10-09T00:00:00"/>
    <s v="Clinical"/>
    <s v="Intermediate"/>
    <x v="1"/>
  </r>
  <r>
    <s v="Mohanraj "/>
    <s v="Palanisamy"/>
    <s v="Offshore"/>
    <d v="2026-10-09T00:00:00"/>
    <s v="Claims"/>
    <s v="Lead"/>
    <x v="1"/>
  </r>
  <r>
    <s v="Mohammed "/>
    <s v="Ismail "/>
    <s v="Offshore"/>
    <d v="2026-10-09T00:00:00"/>
    <s v="Clinical"/>
    <s v="Senior"/>
    <x v="1"/>
  </r>
  <r>
    <s v="Aravindh "/>
    <s v="R"/>
    <s v="Offshore"/>
    <d v="2026-10-09T00:00:00"/>
    <s v="Claims"/>
    <s v="Intermediate"/>
    <x v="1"/>
  </r>
  <r>
    <s v="Vasiharan "/>
    <s v="Suresh"/>
    <s v="Offshore"/>
    <d v="2026-10-09T00:00:00"/>
    <s v="Provider"/>
    <s v="Intermediate"/>
    <x v="1"/>
  </r>
  <r>
    <s v="Kiruthika "/>
    <s v="Guruswamy"/>
    <s v="Offshore"/>
    <d v="2026-10-06T00:00:00"/>
    <s v="SharedServices-CrossProduct"/>
    <s v="Senior"/>
    <x v="3"/>
  </r>
  <r>
    <s v="Madhurima"/>
    <s v="Paturu"/>
    <s v="Offshore"/>
    <d v="2026-10-09T00:00:00"/>
    <s v="Provider"/>
    <s v="Senior"/>
    <x v="1"/>
  </r>
  <r>
    <s v="Harshith"/>
    <s v="Talam"/>
    <s v="Offshore"/>
    <d v="2026-10-09T00:00:00"/>
    <s v="Digital"/>
    <m/>
    <x v="1"/>
  </r>
  <r>
    <s v="Mehraj"/>
    <s v="Banglewale"/>
    <s v="Offshore"/>
    <d v="2026-10-09T00:00:00"/>
    <s v="Enrollment"/>
    <m/>
    <x v="1"/>
  </r>
  <r>
    <s v="Amit"/>
    <s v="Verma"/>
    <s v="Offshore"/>
    <d v="2026-10-15T00:00:00"/>
    <s v="Platform Enablement"/>
    <m/>
    <x v="2"/>
  </r>
  <r>
    <s v="Srinu"/>
    <s v="Karnati"/>
    <s v="Offshore"/>
    <d v="2026-10-15T00:00:00"/>
    <s v="Platform Enablement"/>
    <m/>
    <x v="1"/>
  </r>
  <r>
    <s v="Meena"/>
    <s v="Penumatsa"/>
    <s v="Offshore"/>
    <d v="2026-10-13T00:00:00"/>
    <s v="Clinical"/>
    <m/>
    <x v="1"/>
  </r>
  <r>
    <s v="Ravi"/>
    <s v="Mareddy"/>
    <s v="Offshore"/>
    <d v="2026-10-13T00:00:00"/>
    <s v="Digital"/>
    <m/>
    <x v="1"/>
  </r>
  <r>
    <s v="Sharmilee"/>
    <s v="DeviPrasath"/>
    <s v="Offshore"/>
    <d v="2026-10-13T00:00:00"/>
    <s v="Encounters"/>
    <m/>
    <x v="1"/>
  </r>
  <r>
    <s v="Athira"/>
    <s v="Muganth"/>
    <s v="Offshore"/>
    <d v="2026-10-13T00:00:00"/>
    <s v="Claims"/>
    <m/>
    <x v="1"/>
  </r>
  <r>
    <s v="Udistara Varma"/>
    <s v="Vegeshna"/>
    <s v="Offshore"/>
    <d v="2026-10-13T00:00:00"/>
    <s v="Digital"/>
    <m/>
    <x v="1"/>
  </r>
  <r>
    <s v="Annapoorani"/>
    <s v="Kalvarayan"/>
    <s v="Offshore"/>
    <d v="2026-10-13T00:00:00"/>
    <s v="Enrollment"/>
    <m/>
    <x v="1"/>
  </r>
  <r>
    <s v="Yamuna"/>
    <s v="Athivaram"/>
    <s v="Offshore"/>
    <d v="2026-10-13T00:00:00"/>
    <s v="Enrollment"/>
    <m/>
    <x v="1"/>
  </r>
  <r>
    <s v="Mayuri"/>
    <s v="Patode"/>
    <s v="Offshore"/>
    <d v="2026-10-13T00:00:00"/>
    <s v="Claims"/>
    <m/>
    <x v="1"/>
  </r>
  <r>
    <s v="Sharath"/>
    <s v="Purushotham"/>
    <s v="Onsite"/>
    <d v="2026-10-15T00:00:00"/>
    <s v="Digital"/>
    <s v="Level 4"/>
    <x v="3"/>
  </r>
  <r>
    <s v="Ritika"/>
    <s v="Sethi"/>
    <s v="Onsite"/>
    <d v="2026-10-26T00:00:00"/>
    <s v="Encounters"/>
    <s v="Level 4"/>
    <x v="3"/>
  </r>
  <r>
    <s v="Atamgbo"/>
    <s v="Ayuwu"/>
    <s v="Onsite"/>
    <d v="2026-10-15T00:00:00"/>
    <s v="Clinical"/>
    <s v="Level 4"/>
    <x v="3"/>
  </r>
  <r>
    <s v="Kalyani"/>
    <s v="Kovuru"/>
    <s v="Onsite"/>
    <d v="2026-10-19T00:00:00"/>
    <s v="SAP"/>
    <s v="Level 4"/>
    <x v="3"/>
  </r>
  <r>
    <s v="Jagan"/>
    <s v="S"/>
    <s v="Offshore"/>
    <d v="2026-11-09T00:00:00"/>
    <m/>
    <m/>
    <x v="4"/>
  </r>
  <r>
    <s v="Mohammed"/>
    <s v="Irfan Khan J"/>
    <s v="Offshore"/>
    <d v="2026-11-09T00:00:00"/>
    <m/>
    <m/>
    <x v="4"/>
  </r>
  <r>
    <s v="Harisha"/>
    <s v="P"/>
    <s v="Offshore"/>
    <d v="2026-11-12T00:00:00"/>
    <m/>
    <m/>
    <x v="4"/>
  </r>
  <r>
    <s v="Geentanjali"/>
    <s v="S"/>
    <s v="Offshore"/>
    <d v="2026-11-18T00:00:00"/>
    <m/>
    <m/>
    <x v="4"/>
  </r>
  <r>
    <s v="Meenakshi Sundaram"/>
    <s v="Murugappa"/>
    <s v="Offshore"/>
    <d v="2026-11-23T00:00:00"/>
    <m/>
    <m/>
    <x v="4"/>
  </r>
  <r>
    <s v="Ashok Kumar"/>
    <s v="S"/>
    <s v="Offshore"/>
    <d v="2026-11-26T00:00:00"/>
    <m/>
    <m/>
    <x v="4"/>
  </r>
  <r>
    <s v="Suriya"/>
    <s v="Kathiravan"/>
    <s v="Offshore"/>
    <d v="2026-10-12T00:00:00"/>
    <s v="GenAI-Build"/>
    <s v="Level 3"/>
    <x v="3"/>
  </r>
  <r>
    <s v="Desmond"/>
    <s v="Figaredo"/>
    <s v="Offshore"/>
    <d v="2026-10-12T00:00:00"/>
    <s v="GenAI-Build"/>
    <s v="Level 4"/>
    <x v="3"/>
  </r>
  <r>
    <s v="Renuka"/>
    <s v="Balsubramanian"/>
    <s v="Offshore"/>
    <d v="2026-10-12T00:00:00"/>
    <s v="GenAI-Build"/>
    <s v="Level 3"/>
    <x v="3"/>
  </r>
  <r>
    <s v="Digital tester1"/>
    <m/>
    <s v="Offshore"/>
    <s v="TBD"/>
    <s v="Digital"/>
    <m/>
    <x v="6"/>
  </r>
  <r>
    <s v="Digital tester2"/>
    <m/>
    <s v="Offshore"/>
    <s v="TBD"/>
    <s v="Digital"/>
    <m/>
    <x v="6"/>
  </r>
  <r>
    <m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ECFC0-4542-204B-9B1D-4BA2F52C96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18">
        <item m="1" x="16"/>
        <item x="0"/>
        <item m="1" x="14"/>
        <item m="1" x="12"/>
        <item h="1" x="7"/>
        <item m="1" x="15"/>
        <item m="1" x="13"/>
        <item m="1" x="8"/>
        <item x="3"/>
        <item m="1" x="9"/>
        <item m="1" x="10"/>
        <item m="1" x="11"/>
        <item x="4"/>
        <item x="1"/>
        <item x="2"/>
        <item x="5"/>
        <item x="6"/>
        <item t="default"/>
      </items>
    </pivotField>
  </pivotFields>
  <rowFields count="1">
    <field x="6"/>
  </rowFields>
  <rowItems count="8">
    <i>
      <x v="1"/>
    </i>
    <i>
      <x v="8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76E03C-87D0-3A42-A56F-36333E86808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47c59a0-76bc-4ed1-b3c6-a591dd71c35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547D-3798-0640-A2C5-A594A9EBCE6E}">
  <dimension ref="A1:N29"/>
  <sheetViews>
    <sheetView zoomScaleNormal="100" workbookViewId="0">
      <selection activeCell="F13" sqref="F13"/>
    </sheetView>
  </sheetViews>
  <sheetFormatPr defaultColWidth="10.85546875" defaultRowHeight="15"/>
  <cols>
    <col min="4" max="4" width="10.85546875" hidden="1" customWidth="1"/>
    <col min="5" max="5" width="30.42578125" hidden="1" customWidth="1"/>
    <col min="6" max="6" width="32.42578125" bestFit="1" customWidth="1"/>
    <col min="7" max="7" width="6.7109375" customWidth="1"/>
    <col min="8" max="8" width="5.85546875" bestFit="1" customWidth="1"/>
    <col min="9" max="9" width="12.42578125" customWidth="1"/>
  </cols>
  <sheetData>
    <row r="1" spans="1:14">
      <c r="A1" s="198" t="s">
        <v>0</v>
      </c>
      <c r="B1" s="196" t="s">
        <v>1</v>
      </c>
      <c r="C1" s="197"/>
      <c r="D1" s="46" t="s">
        <v>2</v>
      </c>
      <c r="E1" t="s">
        <v>3</v>
      </c>
      <c r="F1" s="194" t="s">
        <v>4</v>
      </c>
      <c r="G1" s="193" t="s">
        <v>5</v>
      </c>
      <c r="H1" s="193"/>
      <c r="I1" s="52"/>
      <c r="K1" s="195" t="s">
        <v>6</v>
      </c>
      <c r="L1" s="195"/>
      <c r="M1" s="54"/>
    </row>
    <row r="2" spans="1:14">
      <c r="A2" s="199"/>
      <c r="B2" s="84" t="s">
        <v>7</v>
      </c>
      <c r="C2" s="84" t="s">
        <v>8</v>
      </c>
      <c r="D2" s="70"/>
      <c r="F2" s="194"/>
      <c r="G2" s="82" t="s">
        <v>7</v>
      </c>
      <c r="H2" s="82" t="s">
        <v>8</v>
      </c>
      <c r="I2" s="52" t="s">
        <v>9</v>
      </c>
      <c r="K2" s="54" t="s">
        <v>7</v>
      </c>
      <c r="L2" s="54" t="s">
        <v>8</v>
      </c>
      <c r="M2" s="54" t="s">
        <v>9</v>
      </c>
    </row>
    <row r="3" spans="1:14">
      <c r="A3" s="83">
        <f>SUM(B3:C3)</f>
        <v>10</v>
      </c>
      <c r="B3" s="83">
        <v>2</v>
      </c>
      <c r="C3" s="83">
        <v>8</v>
      </c>
      <c r="D3" s="70"/>
      <c r="E3" s="70" t="s">
        <v>10</v>
      </c>
      <c r="F3" s="77" t="s">
        <v>11</v>
      </c>
      <c r="G3" s="54">
        <v>1</v>
      </c>
      <c r="H3" s="54">
        <v>9</v>
      </c>
      <c r="I3" s="52">
        <f t="shared" ref="I3:I19" si="0">SUM(G3,H3)</f>
        <v>10</v>
      </c>
      <c r="K3" s="54">
        <v>1</v>
      </c>
      <c r="L3" s="54">
        <v>9</v>
      </c>
      <c r="M3" s="54">
        <f t="shared" ref="M3:M19" si="1">SUM(K3,L3)</f>
        <v>10</v>
      </c>
      <c r="N3" t="s">
        <v>12</v>
      </c>
    </row>
    <row r="4" spans="1:14">
      <c r="A4" s="83">
        <f t="shared" ref="A4:A18" si="2">SUM(B4:C4)</f>
        <v>10</v>
      </c>
      <c r="B4" s="83">
        <v>2</v>
      </c>
      <c r="C4" s="83">
        <v>8</v>
      </c>
      <c r="D4" s="70"/>
      <c r="E4" s="70" t="s">
        <v>13</v>
      </c>
      <c r="F4" s="123" t="s">
        <v>14</v>
      </c>
      <c r="G4" s="54">
        <v>1</v>
      </c>
      <c r="H4" s="54">
        <v>9</v>
      </c>
      <c r="I4" s="52">
        <f t="shared" si="0"/>
        <v>10</v>
      </c>
      <c r="K4" s="78">
        <v>1</v>
      </c>
      <c r="L4" s="54">
        <v>9</v>
      </c>
      <c r="M4" s="54">
        <f t="shared" si="1"/>
        <v>10</v>
      </c>
      <c r="N4" t="s">
        <v>15</v>
      </c>
    </row>
    <row r="5" spans="1:14">
      <c r="A5" s="83">
        <f t="shared" si="2"/>
        <v>10</v>
      </c>
      <c r="B5" s="83">
        <v>2</v>
      </c>
      <c r="C5" s="83">
        <v>8</v>
      </c>
      <c r="D5" s="70"/>
      <c r="E5" s="70"/>
      <c r="F5" s="77" t="s">
        <v>16</v>
      </c>
      <c r="G5" s="54">
        <v>1</v>
      </c>
      <c r="H5" s="54">
        <v>9</v>
      </c>
      <c r="I5" s="52">
        <f t="shared" si="0"/>
        <v>10</v>
      </c>
      <c r="K5" s="54">
        <v>1</v>
      </c>
      <c r="L5" s="54">
        <v>9</v>
      </c>
      <c r="M5" s="54">
        <f t="shared" si="1"/>
        <v>10</v>
      </c>
    </row>
    <row r="6" spans="1:14">
      <c r="A6" s="83">
        <f t="shared" si="2"/>
        <v>10</v>
      </c>
      <c r="B6" s="83">
        <v>2</v>
      </c>
      <c r="C6" s="83">
        <v>8</v>
      </c>
      <c r="D6" s="70"/>
      <c r="E6" s="70" t="s">
        <v>17</v>
      </c>
      <c r="F6" s="47" t="s">
        <v>18</v>
      </c>
      <c r="G6" s="54">
        <v>1</v>
      </c>
      <c r="H6" s="54">
        <v>9</v>
      </c>
      <c r="I6" s="52">
        <f t="shared" si="0"/>
        <v>10</v>
      </c>
      <c r="K6" s="54">
        <v>1</v>
      </c>
      <c r="L6" s="54">
        <v>9</v>
      </c>
      <c r="M6" s="54">
        <f t="shared" si="1"/>
        <v>10</v>
      </c>
    </row>
    <row r="7" spans="1:14">
      <c r="A7" s="83">
        <f t="shared" si="2"/>
        <v>7</v>
      </c>
      <c r="B7" s="83">
        <v>2</v>
      </c>
      <c r="C7" s="83">
        <v>5</v>
      </c>
      <c r="D7" s="70"/>
      <c r="E7" s="70" t="s">
        <v>19</v>
      </c>
      <c r="F7" s="47" t="s">
        <v>20</v>
      </c>
      <c r="G7" s="54">
        <v>1</v>
      </c>
      <c r="H7" s="54">
        <v>6</v>
      </c>
      <c r="I7" s="52">
        <f t="shared" si="0"/>
        <v>7</v>
      </c>
      <c r="K7" s="54">
        <v>1</v>
      </c>
      <c r="L7" s="54">
        <v>6</v>
      </c>
      <c r="M7" s="54">
        <f t="shared" si="1"/>
        <v>7</v>
      </c>
    </row>
    <row r="8" spans="1:14">
      <c r="A8" s="83">
        <f t="shared" si="2"/>
        <v>13</v>
      </c>
      <c r="B8" s="83">
        <v>2</v>
      </c>
      <c r="C8" s="83">
        <v>11</v>
      </c>
      <c r="D8" s="70"/>
      <c r="E8" s="70" t="s">
        <v>21</v>
      </c>
      <c r="F8" s="124" t="s">
        <v>22</v>
      </c>
      <c r="G8" s="54">
        <v>1</v>
      </c>
      <c r="H8" s="54">
        <v>9</v>
      </c>
      <c r="I8" s="52">
        <f t="shared" si="0"/>
        <v>10</v>
      </c>
      <c r="K8" s="78">
        <v>1</v>
      </c>
      <c r="L8" s="54">
        <v>9</v>
      </c>
      <c r="M8" s="54">
        <f t="shared" si="1"/>
        <v>10</v>
      </c>
      <c r="N8" t="s">
        <v>23</v>
      </c>
    </row>
    <row r="9" spans="1:14">
      <c r="A9" s="83">
        <f t="shared" si="2"/>
        <v>10</v>
      </c>
      <c r="B9" s="83">
        <v>2</v>
      </c>
      <c r="C9" s="83">
        <v>8</v>
      </c>
      <c r="D9" s="70"/>
      <c r="E9" s="70" t="s">
        <v>24</v>
      </c>
      <c r="F9" s="47" t="s">
        <v>25</v>
      </c>
      <c r="G9" s="54">
        <v>1</v>
      </c>
      <c r="H9" s="54">
        <v>9</v>
      </c>
      <c r="I9" s="52">
        <f t="shared" si="0"/>
        <v>10</v>
      </c>
      <c r="K9" s="54">
        <v>1</v>
      </c>
      <c r="L9" s="54">
        <v>9</v>
      </c>
      <c r="M9" s="54">
        <f t="shared" si="1"/>
        <v>10</v>
      </c>
    </row>
    <row r="10" spans="1:14">
      <c r="A10" s="83">
        <f t="shared" si="2"/>
        <v>4</v>
      </c>
      <c r="B10" s="83">
        <v>1</v>
      </c>
      <c r="C10" s="83">
        <v>3</v>
      </c>
      <c r="D10" s="70"/>
      <c r="E10" s="70" t="s">
        <v>26</v>
      </c>
      <c r="F10" s="53" t="s">
        <v>27</v>
      </c>
      <c r="G10" s="54">
        <v>1</v>
      </c>
      <c r="H10" s="54">
        <v>4</v>
      </c>
      <c r="I10" s="52">
        <f t="shared" si="0"/>
        <v>5</v>
      </c>
      <c r="K10" s="54">
        <v>1</v>
      </c>
      <c r="L10" s="54">
        <v>4</v>
      </c>
      <c r="M10" s="54">
        <f t="shared" si="1"/>
        <v>5</v>
      </c>
    </row>
    <row r="11" spans="1:14">
      <c r="A11" s="83">
        <f t="shared" si="2"/>
        <v>3</v>
      </c>
      <c r="B11" s="83">
        <v>1</v>
      </c>
      <c r="C11" s="83">
        <v>2</v>
      </c>
      <c r="D11" s="70"/>
      <c r="E11" s="70" t="s">
        <v>21</v>
      </c>
      <c r="F11" s="124" t="s">
        <v>28</v>
      </c>
      <c r="G11" s="54">
        <v>1</v>
      </c>
      <c r="H11" s="54">
        <v>3</v>
      </c>
      <c r="I11" s="52">
        <f t="shared" si="0"/>
        <v>4</v>
      </c>
      <c r="K11" s="78">
        <v>1</v>
      </c>
      <c r="L11" s="54">
        <v>3</v>
      </c>
      <c r="M11" s="54">
        <f t="shared" si="1"/>
        <v>4</v>
      </c>
      <c r="N11" t="s">
        <v>29</v>
      </c>
    </row>
    <row r="12" spans="1:14">
      <c r="A12" s="83">
        <f t="shared" si="2"/>
        <v>13</v>
      </c>
      <c r="B12" s="83">
        <v>2</v>
      </c>
      <c r="C12" s="83">
        <v>11</v>
      </c>
      <c r="D12" s="70"/>
      <c r="E12" s="70"/>
      <c r="F12" s="47" t="s">
        <v>30</v>
      </c>
      <c r="G12" s="54">
        <v>1</v>
      </c>
      <c r="H12" s="54">
        <v>9</v>
      </c>
      <c r="I12" s="52">
        <f t="shared" si="0"/>
        <v>10</v>
      </c>
      <c r="K12" s="54">
        <v>1</v>
      </c>
      <c r="L12" s="54">
        <v>9</v>
      </c>
      <c r="M12" s="54">
        <f t="shared" si="1"/>
        <v>10</v>
      </c>
    </row>
    <row r="13" spans="1:14">
      <c r="A13" s="83"/>
      <c r="B13" s="83"/>
      <c r="C13" s="83"/>
      <c r="D13" s="70"/>
      <c r="E13" s="70"/>
      <c r="F13" s="47" t="s">
        <v>31</v>
      </c>
      <c r="G13" s="54"/>
      <c r="H13" s="54"/>
      <c r="I13" s="52">
        <f t="shared" si="0"/>
        <v>0</v>
      </c>
      <c r="K13" s="54"/>
      <c r="L13" s="54"/>
      <c r="M13" s="54">
        <f t="shared" si="1"/>
        <v>0</v>
      </c>
    </row>
    <row r="14" spans="1:14">
      <c r="A14" s="83">
        <f t="shared" si="2"/>
        <v>4</v>
      </c>
      <c r="B14" s="83">
        <v>1</v>
      </c>
      <c r="C14" s="83">
        <v>3</v>
      </c>
      <c r="D14" s="70"/>
      <c r="E14" s="70" t="s">
        <v>32</v>
      </c>
      <c r="F14" s="49" t="s">
        <v>33</v>
      </c>
      <c r="G14" s="54">
        <v>0</v>
      </c>
      <c r="H14" s="54">
        <v>3</v>
      </c>
      <c r="I14" s="52">
        <f t="shared" si="0"/>
        <v>3</v>
      </c>
      <c r="K14" s="54">
        <v>0</v>
      </c>
      <c r="L14" s="54">
        <v>3</v>
      </c>
      <c r="M14" s="54">
        <f t="shared" si="1"/>
        <v>3</v>
      </c>
    </row>
    <row r="15" spans="1:14">
      <c r="A15" s="83">
        <f t="shared" si="2"/>
        <v>2</v>
      </c>
      <c r="B15" s="83"/>
      <c r="C15" s="85">
        <v>2</v>
      </c>
      <c r="D15" s="70">
        <v>1</v>
      </c>
      <c r="E15" s="70"/>
      <c r="F15" s="125" t="s">
        <v>34</v>
      </c>
      <c r="G15" s="54">
        <v>0</v>
      </c>
      <c r="H15" s="54">
        <v>2</v>
      </c>
      <c r="I15" s="52">
        <f t="shared" si="0"/>
        <v>2</v>
      </c>
      <c r="K15" s="54">
        <v>0</v>
      </c>
      <c r="L15" s="54">
        <v>2</v>
      </c>
      <c r="M15" s="54">
        <f t="shared" si="1"/>
        <v>2</v>
      </c>
    </row>
    <row r="16" spans="1:14">
      <c r="A16" s="83">
        <f t="shared" si="2"/>
        <v>4</v>
      </c>
      <c r="B16" s="83">
        <v>1</v>
      </c>
      <c r="C16" s="83">
        <v>3</v>
      </c>
      <c r="D16" s="71">
        <v>3</v>
      </c>
      <c r="E16" s="71" t="s">
        <v>35</v>
      </c>
      <c r="F16" s="49" t="s">
        <v>36</v>
      </c>
      <c r="G16" s="54">
        <v>0</v>
      </c>
      <c r="H16" s="54">
        <v>4</v>
      </c>
      <c r="I16" s="52">
        <f t="shared" si="0"/>
        <v>4</v>
      </c>
      <c r="K16" s="54">
        <v>0</v>
      </c>
      <c r="L16" s="54">
        <v>4</v>
      </c>
      <c r="M16" s="54">
        <f t="shared" si="1"/>
        <v>4</v>
      </c>
    </row>
    <row r="17" spans="1:14">
      <c r="A17" s="83">
        <f>SUM(B17:C17)</f>
        <v>4</v>
      </c>
      <c r="B17" s="83">
        <v>1</v>
      </c>
      <c r="C17" s="83">
        <v>3</v>
      </c>
      <c r="D17" s="71"/>
      <c r="E17" s="70"/>
      <c r="F17" s="125" t="s">
        <v>37</v>
      </c>
      <c r="G17" s="54">
        <v>1</v>
      </c>
      <c r="H17" s="54">
        <v>3</v>
      </c>
      <c r="I17" s="52">
        <f t="shared" si="0"/>
        <v>4</v>
      </c>
      <c r="K17" s="54">
        <v>1</v>
      </c>
      <c r="L17" s="54">
        <v>3</v>
      </c>
      <c r="M17" s="54">
        <f t="shared" si="1"/>
        <v>4</v>
      </c>
      <c r="N17" t="s">
        <v>38</v>
      </c>
    </row>
    <row r="18" spans="1:14" ht="30">
      <c r="A18" s="83">
        <f t="shared" si="2"/>
        <v>2</v>
      </c>
      <c r="B18" s="83">
        <v>1</v>
      </c>
      <c r="C18" s="83">
        <v>1</v>
      </c>
      <c r="D18" s="70"/>
      <c r="E18" s="70"/>
      <c r="F18" s="48" t="s">
        <v>39</v>
      </c>
      <c r="G18" s="54">
        <v>0</v>
      </c>
      <c r="H18" s="54">
        <v>1</v>
      </c>
      <c r="I18" s="52">
        <f t="shared" si="0"/>
        <v>1</v>
      </c>
      <c r="K18" s="54">
        <v>0</v>
      </c>
      <c r="L18" s="54">
        <v>1</v>
      </c>
      <c r="M18" s="54">
        <f t="shared" si="1"/>
        <v>1</v>
      </c>
    </row>
    <row r="19" spans="1:14">
      <c r="A19" s="53" t="s">
        <v>40</v>
      </c>
      <c r="B19" s="84">
        <f>SUM(B3:B18)</f>
        <v>22</v>
      </c>
      <c r="C19" s="84">
        <f>SUM(C3:C18)</f>
        <v>84</v>
      </c>
      <c r="D19" s="72">
        <f>SUM(D3:D18)</f>
        <v>4</v>
      </c>
      <c r="E19" s="70"/>
      <c r="F19" s="81" t="s">
        <v>9</v>
      </c>
      <c r="G19" s="79">
        <f>SUM(G3:G18)</f>
        <v>11</v>
      </c>
      <c r="H19" s="79">
        <f>SUM(H3:H18)</f>
        <v>89</v>
      </c>
      <c r="I19" s="52">
        <f t="shared" si="0"/>
        <v>100</v>
      </c>
      <c r="K19" s="83">
        <f>SUM(K3:K18)</f>
        <v>11</v>
      </c>
      <c r="L19" s="83">
        <f>SUM(L3:L18)</f>
        <v>89</v>
      </c>
      <c r="M19" s="83">
        <f t="shared" si="1"/>
        <v>100</v>
      </c>
    </row>
    <row r="20" spans="1:14">
      <c r="C20" s="73">
        <f>SUM(B19:C19)</f>
        <v>106</v>
      </c>
      <c r="I20" s="52"/>
    </row>
    <row r="21" spans="1:14">
      <c r="H21" t="s">
        <v>5</v>
      </c>
      <c r="I21" s="67">
        <v>46310</v>
      </c>
    </row>
    <row r="22" spans="1:14">
      <c r="B22">
        <v>11</v>
      </c>
      <c r="C22">
        <v>89</v>
      </c>
      <c r="I22" s="67">
        <v>46327</v>
      </c>
    </row>
    <row r="23" spans="1:14">
      <c r="I23" s="67">
        <v>46294</v>
      </c>
      <c r="J23" t="s">
        <v>41</v>
      </c>
    </row>
    <row r="24" spans="1:14">
      <c r="I24" s="67">
        <v>46295</v>
      </c>
      <c r="J24" t="s">
        <v>42</v>
      </c>
    </row>
    <row r="25" spans="1:14">
      <c r="I25" s="67">
        <v>46297</v>
      </c>
      <c r="J25" t="s">
        <v>43</v>
      </c>
    </row>
    <row r="26" spans="1:14">
      <c r="I26" s="67">
        <v>46304</v>
      </c>
      <c r="J26" t="s">
        <v>44</v>
      </c>
    </row>
    <row r="27" spans="1:14">
      <c r="M27" t="s">
        <v>45</v>
      </c>
    </row>
    <row r="28" spans="1:14">
      <c r="M28" t="s">
        <v>46</v>
      </c>
    </row>
    <row r="29" spans="1:14">
      <c r="M29" t="s">
        <v>47</v>
      </c>
    </row>
  </sheetData>
  <mergeCells count="5">
    <mergeCell ref="G1:H1"/>
    <mergeCell ref="F1:F2"/>
    <mergeCell ref="K1:L1"/>
    <mergeCell ref="B1:C1"/>
    <mergeCell ref="A1:A2"/>
  </mergeCells>
  <pageMargins left="0.7" right="0.7" top="0.75" bottom="0.75" header="0.3" footer="0.3"/>
  <ignoredErrors>
    <ignoredError sqref="A15:A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4E71-04CF-4C0A-968F-65071696E986}">
  <sheetPr>
    <tabColor rgb="FF00B050"/>
  </sheetPr>
  <dimension ref="A1:O104"/>
  <sheetViews>
    <sheetView topLeftCell="A99" zoomScaleNormal="100" workbookViewId="0">
      <selection activeCell="A104" sqref="A104:XFD104"/>
    </sheetView>
  </sheetViews>
  <sheetFormatPr defaultColWidth="8.5703125" defaultRowHeight="15"/>
  <cols>
    <col min="1" max="1" width="17.28515625" bestFit="1" customWidth="1"/>
    <col min="2" max="2" width="20.42578125" bestFit="1" customWidth="1"/>
    <col min="3" max="3" width="10.140625" bestFit="1" customWidth="1"/>
    <col min="4" max="4" width="13.85546875" bestFit="1" customWidth="1"/>
    <col min="5" max="5" width="22.140625" bestFit="1" customWidth="1"/>
    <col min="6" max="6" width="11.42578125" customWidth="1"/>
    <col min="7" max="7" width="17.5703125" bestFit="1" customWidth="1"/>
    <col min="8" max="8" width="19.42578125" bestFit="1" customWidth="1"/>
    <col min="9" max="9" width="21.42578125" customWidth="1"/>
    <col min="10" max="10" width="29.5703125" bestFit="1" customWidth="1"/>
    <col min="11" max="11" width="13.5703125" bestFit="1" customWidth="1"/>
    <col min="12" max="13" width="11.140625" customWidth="1"/>
  </cols>
  <sheetData>
    <row r="1" spans="1:15">
      <c r="A1" s="162" t="s">
        <v>184</v>
      </c>
      <c r="B1" s="162" t="s">
        <v>185</v>
      </c>
      <c r="C1" s="162" t="s">
        <v>130</v>
      </c>
      <c r="D1" s="162" t="s">
        <v>186</v>
      </c>
      <c r="E1" s="162" t="s">
        <v>4</v>
      </c>
      <c r="F1" s="162" t="s">
        <v>187</v>
      </c>
      <c r="G1" s="162" t="s">
        <v>188</v>
      </c>
      <c r="H1" s="163" t="s">
        <v>130</v>
      </c>
      <c r="I1" s="163" t="s">
        <v>189</v>
      </c>
      <c r="J1" s="163" t="s">
        <v>190</v>
      </c>
      <c r="K1" s="64"/>
      <c r="L1" s="64"/>
      <c r="M1" s="64"/>
    </row>
    <row r="2" spans="1:15">
      <c r="A2" s="164" t="s">
        <v>294</v>
      </c>
      <c r="B2" s="164" t="s">
        <v>295</v>
      </c>
      <c r="C2" s="164" t="s">
        <v>101</v>
      </c>
      <c r="D2" s="165">
        <v>46307</v>
      </c>
      <c r="E2" s="164"/>
      <c r="F2" s="166"/>
      <c r="G2" s="167" t="s">
        <v>749</v>
      </c>
      <c r="H2" s="168"/>
      <c r="I2" s="161"/>
      <c r="J2" s="168"/>
      <c r="K2" s="160"/>
      <c r="L2" s="75"/>
      <c r="M2" s="74"/>
      <c r="O2" t="s">
        <v>93</v>
      </c>
    </row>
    <row r="3" spans="1:15">
      <c r="A3" s="164" t="s">
        <v>296</v>
      </c>
      <c r="B3" s="164" t="s">
        <v>297</v>
      </c>
      <c r="C3" s="164" t="s">
        <v>101</v>
      </c>
      <c r="D3" s="165">
        <v>46310</v>
      </c>
      <c r="E3" s="164"/>
      <c r="F3" s="166"/>
      <c r="G3" s="167" t="s">
        <v>749</v>
      </c>
      <c r="H3" s="168"/>
      <c r="I3" s="161"/>
      <c r="J3" s="168"/>
      <c r="K3" s="160"/>
      <c r="L3" s="75"/>
      <c r="M3" s="74"/>
      <c r="O3" t="s">
        <v>95</v>
      </c>
    </row>
    <row r="4" spans="1:15">
      <c r="A4" s="164" t="s">
        <v>298</v>
      </c>
      <c r="B4" s="164" t="s">
        <v>217</v>
      </c>
      <c r="C4" s="164" t="s">
        <v>101</v>
      </c>
      <c r="D4" s="165">
        <v>46310</v>
      </c>
      <c r="E4" s="164"/>
      <c r="F4" s="166"/>
      <c r="G4" s="167" t="s">
        <v>749</v>
      </c>
      <c r="H4" s="168"/>
      <c r="I4" s="161"/>
      <c r="J4" s="168"/>
      <c r="K4" s="160"/>
      <c r="L4" s="75"/>
      <c r="M4" s="74"/>
      <c r="O4" t="s">
        <v>97</v>
      </c>
    </row>
    <row r="5" spans="1:15">
      <c r="A5" s="164" t="s">
        <v>299</v>
      </c>
      <c r="B5" s="164" t="s">
        <v>300</v>
      </c>
      <c r="C5" s="164" t="s">
        <v>101</v>
      </c>
      <c r="D5" s="165">
        <v>46314</v>
      </c>
      <c r="E5" s="164"/>
      <c r="F5" s="166"/>
      <c r="G5" s="167" t="s">
        <v>749</v>
      </c>
      <c r="H5" s="168"/>
      <c r="I5" s="161"/>
      <c r="J5" s="168"/>
      <c r="K5" s="160"/>
      <c r="L5" s="75"/>
      <c r="M5" s="74"/>
      <c r="O5" t="s">
        <v>97</v>
      </c>
    </row>
    <row r="6" spans="1:15">
      <c r="A6" s="164" t="s">
        <v>230</v>
      </c>
      <c r="B6" s="164" t="s">
        <v>301</v>
      </c>
      <c r="C6" s="164" t="s">
        <v>101</v>
      </c>
      <c r="D6" s="165">
        <v>46318</v>
      </c>
      <c r="E6" s="164"/>
      <c r="F6" s="166"/>
      <c r="G6" s="167" t="s">
        <v>749</v>
      </c>
      <c r="H6" s="168"/>
      <c r="I6" s="161"/>
      <c r="J6" s="168"/>
      <c r="K6" s="160"/>
      <c r="L6" s="75"/>
      <c r="M6" s="74"/>
      <c r="O6" t="s">
        <v>97</v>
      </c>
    </row>
    <row r="7" spans="1:15">
      <c r="A7" s="164" t="s">
        <v>302</v>
      </c>
      <c r="B7" s="164" t="s">
        <v>303</v>
      </c>
      <c r="C7" s="164" t="s">
        <v>101</v>
      </c>
      <c r="D7" s="165">
        <v>46323</v>
      </c>
      <c r="E7" s="164"/>
      <c r="F7" s="166"/>
      <c r="G7" s="167" t="s">
        <v>749</v>
      </c>
      <c r="H7" s="168"/>
      <c r="I7" s="161"/>
      <c r="J7" s="168"/>
      <c r="K7" s="160"/>
      <c r="L7" s="75"/>
      <c r="M7" s="74"/>
    </row>
    <row r="8" spans="1:15">
      <c r="A8" s="164" t="s">
        <v>775</v>
      </c>
      <c r="B8" s="164" t="s">
        <v>304</v>
      </c>
      <c r="C8" s="164" t="s">
        <v>101</v>
      </c>
      <c r="D8" s="165">
        <v>46323</v>
      </c>
      <c r="E8" s="164"/>
      <c r="F8" s="166"/>
      <c r="G8" s="167" t="s">
        <v>749</v>
      </c>
      <c r="H8" s="168"/>
      <c r="I8" s="161"/>
      <c r="J8" s="168"/>
      <c r="K8" s="160"/>
      <c r="L8" s="75"/>
      <c r="M8" s="74"/>
    </row>
    <row r="9" spans="1:15">
      <c r="A9" s="164" t="s">
        <v>747</v>
      </c>
      <c r="B9" s="164" t="s">
        <v>743</v>
      </c>
      <c r="C9" s="164" t="s">
        <v>101</v>
      </c>
      <c r="D9" s="165">
        <v>46335</v>
      </c>
      <c r="E9" s="164"/>
      <c r="F9" s="166"/>
      <c r="G9" s="167" t="s">
        <v>749</v>
      </c>
      <c r="H9" s="168"/>
      <c r="I9" s="161"/>
      <c r="J9" s="168"/>
      <c r="K9" s="160"/>
      <c r="L9" s="75"/>
      <c r="M9" s="74"/>
    </row>
    <row r="10" spans="1:15">
      <c r="A10" s="164" t="s">
        <v>740</v>
      </c>
      <c r="B10" s="164" t="s">
        <v>741</v>
      </c>
      <c r="C10" s="164" t="s">
        <v>101</v>
      </c>
      <c r="D10" s="165">
        <v>46335</v>
      </c>
      <c r="E10" s="164"/>
      <c r="F10" s="166"/>
      <c r="G10" s="167" t="s">
        <v>749</v>
      </c>
      <c r="H10" s="168"/>
      <c r="I10" s="161"/>
      <c r="J10" s="168"/>
      <c r="K10" s="160"/>
      <c r="L10" s="75"/>
      <c r="M10" s="74"/>
    </row>
    <row r="11" spans="1:15">
      <c r="A11" s="164" t="s">
        <v>742</v>
      </c>
      <c r="B11" s="164" t="s">
        <v>250</v>
      </c>
      <c r="C11" s="164" t="s">
        <v>101</v>
      </c>
      <c r="D11" s="165">
        <v>46338</v>
      </c>
      <c r="E11" s="164"/>
      <c r="F11" s="166"/>
      <c r="G11" s="167" t="s">
        <v>749</v>
      </c>
      <c r="H11" s="168"/>
      <c r="I11" s="161"/>
      <c r="J11" s="168"/>
      <c r="K11" s="160"/>
      <c r="L11" s="75"/>
      <c r="M11" s="74"/>
    </row>
    <row r="12" spans="1:15">
      <c r="A12" s="164" t="s">
        <v>748</v>
      </c>
      <c r="B12" s="164" t="s">
        <v>743</v>
      </c>
      <c r="C12" s="164" t="s">
        <v>101</v>
      </c>
      <c r="D12" s="165">
        <v>46344</v>
      </c>
      <c r="E12" s="164"/>
      <c r="F12" s="166"/>
      <c r="G12" s="167" t="s">
        <v>749</v>
      </c>
      <c r="H12" s="168"/>
      <c r="I12" s="161"/>
      <c r="J12" s="168"/>
      <c r="K12" s="160"/>
      <c r="L12" s="75"/>
      <c r="M12" s="74"/>
    </row>
    <row r="13" spans="1:15">
      <c r="A13" s="164" t="s">
        <v>744</v>
      </c>
      <c r="B13" s="164" t="s">
        <v>745</v>
      </c>
      <c r="C13" s="164" t="s">
        <v>101</v>
      </c>
      <c r="D13" s="165">
        <v>46349</v>
      </c>
      <c r="E13" s="164"/>
      <c r="F13" s="166"/>
      <c r="G13" s="167" t="s">
        <v>749</v>
      </c>
      <c r="H13" s="168"/>
      <c r="I13" s="161"/>
      <c r="J13" s="168"/>
      <c r="K13" s="160"/>
      <c r="L13" s="75"/>
      <c r="M13" s="74"/>
    </row>
    <row r="14" spans="1:15">
      <c r="A14" s="164" t="s">
        <v>746</v>
      </c>
      <c r="B14" s="164" t="s">
        <v>743</v>
      </c>
      <c r="C14" s="164" t="s">
        <v>101</v>
      </c>
      <c r="D14" s="165">
        <v>46352</v>
      </c>
      <c r="E14" s="164"/>
      <c r="F14" s="166"/>
      <c r="G14" s="167" t="s">
        <v>749</v>
      </c>
      <c r="H14" s="168"/>
      <c r="I14" s="161"/>
      <c r="J14" s="168"/>
      <c r="K14" s="160"/>
      <c r="L14" s="75"/>
      <c r="M14" s="74"/>
    </row>
    <row r="15" spans="1:15">
      <c r="A15" s="164" t="s">
        <v>191</v>
      </c>
      <c r="B15" s="164" t="s">
        <v>192</v>
      </c>
      <c r="C15" s="164" t="s">
        <v>193</v>
      </c>
      <c r="D15" s="165">
        <v>46204</v>
      </c>
      <c r="E15" s="164" t="s">
        <v>194</v>
      </c>
      <c r="F15" s="166"/>
      <c r="G15" s="167" t="s">
        <v>1</v>
      </c>
      <c r="H15" s="168"/>
      <c r="I15" s="161"/>
      <c r="J15" s="168"/>
      <c r="K15" s="160"/>
      <c r="L15" s="75"/>
      <c r="M15" s="74"/>
    </row>
    <row r="16" spans="1:15">
      <c r="A16" s="164" t="s">
        <v>195</v>
      </c>
      <c r="B16" s="164" t="s">
        <v>196</v>
      </c>
      <c r="C16" s="164" t="s">
        <v>101</v>
      </c>
      <c r="D16" s="165">
        <v>46204</v>
      </c>
      <c r="E16" s="164" t="s">
        <v>22</v>
      </c>
      <c r="F16" s="166"/>
      <c r="G16" s="167" t="s">
        <v>1</v>
      </c>
      <c r="H16" s="168"/>
      <c r="I16" s="161"/>
      <c r="J16" s="168"/>
      <c r="K16" s="160"/>
      <c r="L16" s="75"/>
      <c r="M16" s="74"/>
    </row>
    <row r="17" spans="1:13">
      <c r="A17" s="164" t="s">
        <v>197</v>
      </c>
      <c r="B17" s="164" t="s">
        <v>198</v>
      </c>
      <c r="C17" s="164" t="s">
        <v>101</v>
      </c>
      <c r="D17" s="165">
        <v>46204</v>
      </c>
      <c r="E17" s="164" t="s">
        <v>22</v>
      </c>
      <c r="F17" s="166"/>
      <c r="G17" s="167" t="s">
        <v>1</v>
      </c>
      <c r="H17" s="168"/>
      <c r="I17" s="161"/>
      <c r="J17" s="168"/>
      <c r="K17" s="160"/>
      <c r="L17" s="75"/>
      <c r="M17" s="74"/>
    </row>
    <row r="18" spans="1:13">
      <c r="A18" s="164" t="s">
        <v>69</v>
      </c>
      <c r="B18" s="164" t="s">
        <v>199</v>
      </c>
      <c r="C18" s="164" t="s">
        <v>193</v>
      </c>
      <c r="D18" s="165">
        <v>46113</v>
      </c>
      <c r="E18" s="164" t="str">
        <f>'Team Roster'!$A$8</f>
        <v>EDI</v>
      </c>
      <c r="F18" s="166"/>
      <c r="G18" s="167" t="s">
        <v>1</v>
      </c>
      <c r="H18" s="168"/>
      <c r="I18" s="161"/>
      <c r="J18" s="168"/>
      <c r="K18" s="160"/>
      <c r="L18" s="75"/>
      <c r="M18" s="74"/>
    </row>
    <row r="19" spans="1:13">
      <c r="A19" s="164" t="s">
        <v>200</v>
      </c>
      <c r="B19" s="164" t="s">
        <v>201</v>
      </c>
      <c r="C19" s="164" t="s">
        <v>193</v>
      </c>
      <c r="D19" s="165">
        <v>46244</v>
      </c>
      <c r="E19" s="164" t="s">
        <v>22</v>
      </c>
      <c r="F19" s="166"/>
      <c r="G19" s="167" t="s">
        <v>1</v>
      </c>
      <c r="H19" s="168"/>
      <c r="I19" s="161"/>
      <c r="J19" s="168"/>
      <c r="K19" s="160"/>
      <c r="L19" s="75"/>
      <c r="M19" s="74"/>
    </row>
    <row r="20" spans="1:13">
      <c r="A20" s="164" t="s">
        <v>29</v>
      </c>
      <c r="B20" s="164" t="s">
        <v>202</v>
      </c>
      <c r="C20" s="164" t="s">
        <v>193</v>
      </c>
      <c r="D20" s="165">
        <v>46113</v>
      </c>
      <c r="E20" s="164" t="s">
        <v>119</v>
      </c>
      <c r="F20" s="166"/>
      <c r="G20" s="167" t="s">
        <v>1</v>
      </c>
      <c r="H20" s="168"/>
      <c r="I20" s="161"/>
      <c r="J20" s="168"/>
      <c r="K20" s="160"/>
      <c r="L20" s="75"/>
      <c r="M20" s="74"/>
    </row>
    <row r="21" spans="1:13">
      <c r="A21" s="164" t="s">
        <v>203</v>
      </c>
      <c r="B21" s="164" t="s">
        <v>204</v>
      </c>
      <c r="C21" s="164" t="s">
        <v>101</v>
      </c>
      <c r="D21" s="165">
        <v>46113</v>
      </c>
      <c r="E21" s="164" t="s">
        <v>22</v>
      </c>
      <c r="F21" s="166"/>
      <c r="G21" s="167" t="s">
        <v>1</v>
      </c>
      <c r="H21" s="168"/>
      <c r="I21" s="161"/>
      <c r="J21" s="168"/>
      <c r="K21" s="160"/>
      <c r="L21" s="75"/>
      <c r="M21" s="74"/>
    </row>
    <row r="22" spans="1:13">
      <c r="A22" s="164" t="s">
        <v>205</v>
      </c>
      <c r="B22" s="164" t="s">
        <v>206</v>
      </c>
      <c r="C22" s="164" t="s">
        <v>101</v>
      </c>
      <c r="D22" s="165">
        <v>46113</v>
      </c>
      <c r="E22" s="164" t="s">
        <v>119</v>
      </c>
      <c r="F22" s="166"/>
      <c r="G22" s="167" t="s">
        <v>1</v>
      </c>
      <c r="H22" s="168"/>
      <c r="I22" s="161"/>
      <c r="J22" s="168"/>
      <c r="K22" s="160"/>
      <c r="L22" s="75"/>
      <c r="M22" s="74"/>
    </row>
    <row r="23" spans="1:13">
      <c r="A23" s="164" t="s">
        <v>207</v>
      </c>
      <c r="B23" s="164" t="s">
        <v>208</v>
      </c>
      <c r="C23" s="164" t="s">
        <v>101</v>
      </c>
      <c r="D23" s="165">
        <v>46113</v>
      </c>
      <c r="E23" s="164" t="s">
        <v>22</v>
      </c>
      <c r="F23" s="166"/>
      <c r="G23" s="167" t="s">
        <v>1</v>
      </c>
      <c r="H23" s="168"/>
      <c r="I23" s="161"/>
      <c r="J23" s="168"/>
      <c r="K23" s="160"/>
      <c r="L23" s="75"/>
      <c r="M23" s="74"/>
    </row>
    <row r="24" spans="1:13">
      <c r="A24" s="164" t="s">
        <v>158</v>
      </c>
      <c r="B24" s="164" t="s">
        <v>209</v>
      </c>
      <c r="C24" s="164" t="s">
        <v>101</v>
      </c>
      <c r="D24" s="165">
        <v>46113</v>
      </c>
      <c r="E24" s="164" t="str">
        <f>'Team Roster'!$A$4</f>
        <v>Claims</v>
      </c>
      <c r="F24" s="166"/>
      <c r="G24" s="167" t="s">
        <v>1</v>
      </c>
      <c r="H24" s="168"/>
      <c r="I24" s="161"/>
      <c r="J24" s="168"/>
      <c r="K24" s="160"/>
      <c r="L24" s="75"/>
      <c r="M24" s="74"/>
    </row>
    <row r="25" spans="1:13">
      <c r="A25" s="164" t="s">
        <v>210</v>
      </c>
      <c r="B25" s="164" t="s">
        <v>211</v>
      </c>
      <c r="C25" s="164" t="s">
        <v>101</v>
      </c>
      <c r="D25" s="165">
        <v>46204</v>
      </c>
      <c r="E25" s="164" t="s">
        <v>22</v>
      </c>
      <c r="F25" s="166"/>
      <c r="G25" s="167" t="s">
        <v>1</v>
      </c>
      <c r="H25" s="168"/>
      <c r="I25" s="161"/>
      <c r="J25" s="168"/>
      <c r="K25" s="160"/>
      <c r="L25" s="75"/>
      <c r="M25" s="74"/>
    </row>
    <row r="26" spans="1:13">
      <c r="A26" s="164" t="s">
        <v>212</v>
      </c>
      <c r="B26" s="164" t="s">
        <v>213</v>
      </c>
      <c r="C26" s="164" t="s">
        <v>101</v>
      </c>
      <c r="D26" s="165">
        <v>46113</v>
      </c>
      <c r="E26" s="164" t="s">
        <v>22</v>
      </c>
      <c r="F26" s="166"/>
      <c r="G26" s="167" t="s">
        <v>1</v>
      </c>
      <c r="H26" s="168"/>
      <c r="I26" s="161"/>
      <c r="J26" s="168"/>
      <c r="K26" s="160"/>
      <c r="L26" s="75"/>
      <c r="M26" s="74"/>
    </row>
    <row r="27" spans="1:13">
      <c r="A27" s="164" t="s">
        <v>214</v>
      </c>
      <c r="B27" s="164" t="s">
        <v>215</v>
      </c>
      <c r="C27" s="164" t="s">
        <v>101</v>
      </c>
      <c r="D27" s="165">
        <v>46113</v>
      </c>
      <c r="E27" s="164" t="s">
        <v>22</v>
      </c>
      <c r="F27" s="166"/>
      <c r="G27" s="167" t="s">
        <v>1</v>
      </c>
      <c r="H27" s="168"/>
      <c r="I27" s="161"/>
      <c r="J27" s="168"/>
      <c r="K27" s="160"/>
      <c r="L27" s="75"/>
      <c r="M27" s="74"/>
    </row>
    <row r="28" spans="1:13">
      <c r="A28" s="164" t="s">
        <v>216</v>
      </c>
      <c r="B28" s="164" t="s">
        <v>217</v>
      </c>
      <c r="C28" s="164" t="s">
        <v>101</v>
      </c>
      <c r="D28" s="165">
        <v>46155</v>
      </c>
      <c r="E28" s="164" t="s">
        <v>25</v>
      </c>
      <c r="F28" s="166"/>
      <c r="G28" s="167" t="s">
        <v>1</v>
      </c>
      <c r="H28" s="168"/>
      <c r="I28" s="161"/>
      <c r="J28" s="168"/>
      <c r="K28" s="160"/>
      <c r="L28" s="75"/>
      <c r="M28" s="74"/>
    </row>
    <row r="29" spans="1:13">
      <c r="A29" s="164" t="s">
        <v>218</v>
      </c>
      <c r="B29" s="164" t="s">
        <v>219</v>
      </c>
      <c r="C29" s="164" t="s">
        <v>101</v>
      </c>
      <c r="D29" s="165">
        <v>46121</v>
      </c>
      <c r="E29" s="164" t="str">
        <f>'Team Roster'!$A$3</f>
        <v>Provider</v>
      </c>
      <c r="F29" s="166"/>
      <c r="G29" s="167" t="s">
        <v>1</v>
      </c>
      <c r="H29" s="168"/>
      <c r="I29" s="161"/>
      <c r="J29" s="168"/>
      <c r="K29" s="160"/>
      <c r="L29" s="75"/>
      <c r="M29" s="74"/>
    </row>
    <row r="30" spans="1:13">
      <c r="A30" s="164" t="s">
        <v>220</v>
      </c>
      <c r="B30" s="164" t="s">
        <v>221</v>
      </c>
      <c r="C30" s="164" t="s">
        <v>101</v>
      </c>
      <c r="D30" s="165">
        <v>46155</v>
      </c>
      <c r="E30" s="164" t="s">
        <v>25</v>
      </c>
      <c r="F30" s="166"/>
      <c r="G30" s="167" t="s">
        <v>1</v>
      </c>
      <c r="H30" s="168"/>
      <c r="I30" s="161"/>
      <c r="J30" s="168"/>
      <c r="K30" s="160"/>
      <c r="L30" s="75"/>
      <c r="M30" s="74"/>
    </row>
    <row r="31" spans="1:13">
      <c r="A31" s="164" t="s">
        <v>222</v>
      </c>
      <c r="B31" s="164" t="s">
        <v>223</v>
      </c>
      <c r="C31" s="164" t="s">
        <v>101</v>
      </c>
      <c r="D31" s="165">
        <v>46113</v>
      </c>
      <c r="E31" s="164" t="s">
        <v>119</v>
      </c>
      <c r="F31" s="166"/>
      <c r="G31" s="167" t="s">
        <v>1</v>
      </c>
      <c r="H31" s="168"/>
      <c r="I31" s="161"/>
      <c r="J31" s="168"/>
      <c r="K31" s="160"/>
      <c r="L31" s="75"/>
      <c r="M31" s="74"/>
    </row>
    <row r="32" spans="1:13">
      <c r="A32" s="164" t="s">
        <v>224</v>
      </c>
      <c r="B32" s="164" t="s">
        <v>225</v>
      </c>
      <c r="C32" s="164" t="s">
        <v>101</v>
      </c>
      <c r="D32" s="165">
        <v>46113</v>
      </c>
      <c r="E32" s="164" t="s">
        <v>22</v>
      </c>
      <c r="F32" s="166"/>
      <c r="G32" s="167" t="s">
        <v>1</v>
      </c>
      <c r="H32" s="168"/>
      <c r="I32" s="161"/>
      <c r="J32" s="168"/>
      <c r="K32" s="160"/>
      <c r="L32" s="75"/>
      <c r="M32" s="74"/>
    </row>
    <row r="33" spans="1:13">
      <c r="A33" s="164" t="s">
        <v>226</v>
      </c>
      <c r="B33" s="164" t="s">
        <v>227</v>
      </c>
      <c r="C33" s="164" t="s">
        <v>193</v>
      </c>
      <c r="D33" s="165">
        <v>46113</v>
      </c>
      <c r="E33" s="164" t="str">
        <f>'Team Roster'!$A$3</f>
        <v>Provider</v>
      </c>
      <c r="F33" s="166"/>
      <c r="G33" s="167" t="s">
        <v>1</v>
      </c>
      <c r="H33" s="168"/>
      <c r="I33" s="161"/>
      <c r="J33" s="168"/>
      <c r="K33" s="160"/>
      <c r="L33" s="75"/>
      <c r="M33" s="74"/>
    </row>
    <row r="34" spans="1:13">
      <c r="A34" s="164" t="s">
        <v>228</v>
      </c>
      <c r="B34" s="164" t="s">
        <v>229</v>
      </c>
      <c r="C34" s="164" t="s">
        <v>101</v>
      </c>
      <c r="D34" s="165">
        <v>46204</v>
      </c>
      <c r="E34" s="164" t="s">
        <v>119</v>
      </c>
      <c r="F34" s="166"/>
      <c r="G34" s="167" t="s">
        <v>1</v>
      </c>
      <c r="H34" s="168"/>
      <c r="I34" s="161"/>
      <c r="J34" s="168"/>
      <c r="K34" s="160"/>
      <c r="L34" s="75"/>
      <c r="M34" s="74"/>
    </row>
    <row r="35" spans="1:13">
      <c r="A35" s="164" t="s">
        <v>230</v>
      </c>
      <c r="B35" s="164" t="s">
        <v>231</v>
      </c>
      <c r="C35" s="164" t="s">
        <v>193</v>
      </c>
      <c r="D35" s="165">
        <v>46146</v>
      </c>
      <c r="E35" s="164" t="s">
        <v>22</v>
      </c>
      <c r="F35" s="166"/>
      <c r="G35" s="167" t="s">
        <v>1</v>
      </c>
      <c r="H35" s="168"/>
      <c r="I35" s="161"/>
      <c r="J35" s="168"/>
      <c r="K35" s="160"/>
      <c r="L35" s="75"/>
      <c r="M35" s="74"/>
    </row>
    <row r="36" spans="1:13">
      <c r="A36" s="164" t="s">
        <v>232</v>
      </c>
      <c r="B36" s="164" t="s">
        <v>233</v>
      </c>
      <c r="C36" s="164" t="s">
        <v>101</v>
      </c>
      <c r="D36" s="165">
        <v>46113</v>
      </c>
      <c r="E36" s="164" t="s">
        <v>22</v>
      </c>
      <c r="F36" s="166"/>
      <c r="G36" s="167" t="s">
        <v>1</v>
      </c>
      <c r="H36" s="168"/>
      <c r="I36" s="161"/>
      <c r="J36" s="168"/>
      <c r="K36" s="160"/>
      <c r="L36" s="75"/>
      <c r="M36" s="74"/>
    </row>
    <row r="37" spans="1:13">
      <c r="A37" s="164" t="s">
        <v>325</v>
      </c>
      <c r="B37" s="164" t="s">
        <v>326</v>
      </c>
      <c r="C37" s="164" t="s">
        <v>193</v>
      </c>
      <c r="D37" s="165">
        <v>46295</v>
      </c>
      <c r="E37" s="164" t="s">
        <v>37</v>
      </c>
      <c r="F37" s="166"/>
      <c r="G37" s="167" t="s">
        <v>1</v>
      </c>
      <c r="H37" s="168"/>
      <c r="I37" s="161"/>
      <c r="J37" s="168"/>
      <c r="K37" s="160"/>
      <c r="L37" s="75"/>
      <c r="M37" s="74"/>
    </row>
    <row r="38" spans="1:13">
      <c r="A38" s="164" t="s">
        <v>129</v>
      </c>
      <c r="B38" s="164" t="s">
        <v>327</v>
      </c>
      <c r="C38" s="164" t="s">
        <v>101</v>
      </c>
      <c r="D38" s="165">
        <v>46295</v>
      </c>
      <c r="E38" s="164" t="s">
        <v>37</v>
      </c>
      <c r="F38" s="166"/>
      <c r="G38" s="167" t="s">
        <v>1</v>
      </c>
      <c r="H38" s="168"/>
      <c r="I38" s="161"/>
      <c r="J38" s="168"/>
      <c r="K38" s="160"/>
      <c r="L38" s="75"/>
      <c r="M38" s="74"/>
    </row>
    <row r="39" spans="1:13">
      <c r="A39" s="164" t="s">
        <v>768</v>
      </c>
      <c r="B39" s="164"/>
      <c r="C39" s="164" t="s">
        <v>101</v>
      </c>
      <c r="D39" s="165" t="s">
        <v>426</v>
      </c>
      <c r="E39" s="164" t="s">
        <v>18</v>
      </c>
      <c r="F39" s="166"/>
      <c r="G39" s="167" t="s">
        <v>769</v>
      </c>
      <c r="H39" s="168"/>
      <c r="I39" s="161"/>
      <c r="J39" s="168"/>
      <c r="K39" s="160"/>
      <c r="L39" s="75"/>
      <c r="M39" s="74"/>
    </row>
    <row r="40" spans="1:13">
      <c r="A40" s="164" t="s">
        <v>771</v>
      </c>
      <c r="B40" s="164"/>
      <c r="C40" s="164" t="s">
        <v>101</v>
      </c>
      <c r="D40" s="165" t="s">
        <v>426</v>
      </c>
      <c r="E40" s="164" t="s">
        <v>18</v>
      </c>
      <c r="F40" s="166"/>
      <c r="G40" s="167" t="s">
        <v>769</v>
      </c>
      <c r="H40" s="168"/>
      <c r="I40" s="161"/>
      <c r="J40" s="168"/>
      <c r="K40" s="160"/>
      <c r="L40" s="75"/>
      <c r="M40" s="74"/>
    </row>
    <row r="41" spans="1:13">
      <c r="A41" s="164" t="s">
        <v>784</v>
      </c>
      <c r="B41" s="164"/>
      <c r="C41" s="164" t="s">
        <v>101</v>
      </c>
      <c r="D41" s="165" t="s">
        <v>426</v>
      </c>
      <c r="E41" s="164" t="s">
        <v>18</v>
      </c>
      <c r="F41" s="166"/>
      <c r="G41" s="167" t="s">
        <v>769</v>
      </c>
      <c r="H41" s="168"/>
      <c r="I41" s="161"/>
      <c r="J41" s="168"/>
      <c r="K41" s="160"/>
      <c r="L41" s="75"/>
      <c r="M41" s="74"/>
    </row>
    <row r="42" spans="1:13">
      <c r="A42" s="164" t="s">
        <v>785</v>
      </c>
      <c r="B42" s="164"/>
      <c r="C42" s="164" t="s">
        <v>101</v>
      </c>
      <c r="D42" s="165" t="s">
        <v>426</v>
      </c>
      <c r="E42" s="164" t="s">
        <v>18</v>
      </c>
      <c r="F42" s="166"/>
      <c r="G42" s="167" t="s">
        <v>769</v>
      </c>
      <c r="H42" s="168"/>
      <c r="I42" s="161"/>
      <c r="J42" s="168"/>
      <c r="K42" s="160"/>
      <c r="L42" s="75"/>
      <c r="M42" s="74"/>
    </row>
    <row r="43" spans="1:13">
      <c r="A43" s="164" t="s">
        <v>786</v>
      </c>
      <c r="B43" s="164"/>
      <c r="C43" s="164" t="s">
        <v>101</v>
      </c>
      <c r="D43" s="165" t="s">
        <v>426</v>
      </c>
      <c r="E43" s="164" t="s">
        <v>18</v>
      </c>
      <c r="F43" s="166"/>
      <c r="G43" s="167" t="s">
        <v>769</v>
      </c>
      <c r="H43" s="168"/>
      <c r="I43" s="161"/>
      <c r="J43" s="168"/>
      <c r="K43" s="160"/>
      <c r="L43" s="75"/>
      <c r="M43" s="74"/>
    </row>
    <row r="44" spans="1:13">
      <c r="A44" s="164" t="s">
        <v>787</v>
      </c>
      <c r="B44" s="164"/>
      <c r="C44" s="164" t="s">
        <v>101</v>
      </c>
      <c r="D44" s="165" t="s">
        <v>426</v>
      </c>
      <c r="E44" s="164" t="s">
        <v>18</v>
      </c>
      <c r="F44" s="166"/>
      <c r="G44" s="167" t="s">
        <v>769</v>
      </c>
      <c r="H44" s="168"/>
      <c r="I44" s="161"/>
      <c r="J44" s="168"/>
      <c r="K44" s="160"/>
      <c r="L44" s="75"/>
      <c r="M44" s="74"/>
    </row>
    <row r="45" spans="1:13">
      <c r="A45" s="164" t="s">
        <v>788</v>
      </c>
      <c r="B45" s="164"/>
      <c r="C45" s="164" t="s">
        <v>101</v>
      </c>
      <c r="D45" s="165" t="s">
        <v>426</v>
      </c>
      <c r="E45" s="164" t="s">
        <v>18</v>
      </c>
      <c r="F45" s="166"/>
      <c r="G45" s="167" t="s">
        <v>769</v>
      </c>
      <c r="H45" s="168"/>
      <c r="I45" s="161"/>
      <c r="J45" s="168"/>
      <c r="K45" s="160"/>
      <c r="L45" s="75"/>
      <c r="M45" s="74"/>
    </row>
    <row r="46" spans="1:13">
      <c r="A46" s="164" t="s">
        <v>777</v>
      </c>
      <c r="B46" s="53"/>
      <c r="C46" s="164" t="s">
        <v>101</v>
      </c>
      <c r="D46" s="165" t="s">
        <v>426</v>
      </c>
      <c r="E46" s="164" t="s">
        <v>25</v>
      </c>
      <c r="F46" s="166"/>
      <c r="G46" s="167" t="s">
        <v>769</v>
      </c>
      <c r="H46" s="53"/>
      <c r="I46" s="53"/>
      <c r="J46" s="53"/>
      <c r="K46" s="177"/>
      <c r="L46" s="179"/>
      <c r="M46" s="179"/>
    </row>
    <row r="47" spans="1:13">
      <c r="A47" s="164" t="s">
        <v>778</v>
      </c>
      <c r="B47" s="53"/>
      <c r="C47" s="164" t="s">
        <v>101</v>
      </c>
      <c r="D47" s="165" t="s">
        <v>426</v>
      </c>
      <c r="E47" s="164" t="s">
        <v>25</v>
      </c>
      <c r="F47" s="166"/>
      <c r="G47" s="167" t="s">
        <v>769</v>
      </c>
      <c r="H47" s="53"/>
      <c r="I47" s="53"/>
      <c r="J47" s="53"/>
      <c r="K47" s="177"/>
      <c r="L47" s="179"/>
      <c r="M47" s="179"/>
    </row>
    <row r="48" spans="1:13">
      <c r="A48" s="164" t="s">
        <v>779</v>
      </c>
      <c r="B48" s="53"/>
      <c r="C48" s="164" t="s">
        <v>101</v>
      </c>
      <c r="D48" s="165" t="s">
        <v>426</v>
      </c>
      <c r="E48" s="164" t="s">
        <v>30</v>
      </c>
      <c r="F48" s="166"/>
      <c r="G48" s="167" t="s">
        <v>769</v>
      </c>
      <c r="H48" s="53"/>
      <c r="I48" s="53"/>
      <c r="J48" s="53"/>
      <c r="K48" s="177"/>
      <c r="L48" s="179"/>
      <c r="M48" s="179"/>
    </row>
    <row r="49" spans="1:15">
      <c r="A49" s="164" t="s">
        <v>780</v>
      </c>
      <c r="B49" s="53"/>
      <c r="C49" s="164" t="s">
        <v>101</v>
      </c>
      <c r="D49" s="165" t="s">
        <v>426</v>
      </c>
      <c r="E49" s="164" t="s">
        <v>30</v>
      </c>
      <c r="F49" s="166"/>
      <c r="G49" s="167" t="s">
        <v>769</v>
      </c>
      <c r="H49" s="53"/>
      <c r="I49" s="53"/>
      <c r="J49" s="53"/>
      <c r="K49" s="177"/>
      <c r="L49" s="179"/>
      <c r="M49" s="179"/>
    </row>
    <row r="50" spans="1:15">
      <c r="A50" s="164" t="s">
        <v>789</v>
      </c>
      <c r="B50" s="164"/>
      <c r="C50" s="164" t="s">
        <v>101</v>
      </c>
      <c r="D50" s="165" t="s">
        <v>426</v>
      </c>
      <c r="E50" s="164" t="s">
        <v>738</v>
      </c>
      <c r="F50" s="166"/>
      <c r="G50" s="167" t="s">
        <v>769</v>
      </c>
      <c r="H50" s="168"/>
      <c r="I50" s="161"/>
      <c r="J50" s="168"/>
      <c r="K50" s="160"/>
      <c r="L50" s="75"/>
      <c r="M50" s="74"/>
    </row>
    <row r="51" spans="1:15">
      <c r="A51" s="164" t="s">
        <v>311</v>
      </c>
      <c r="B51" s="164" t="s">
        <v>312</v>
      </c>
      <c r="C51" s="164" t="s">
        <v>193</v>
      </c>
      <c r="D51" s="165">
        <v>46321</v>
      </c>
      <c r="E51" s="164" t="str">
        <f>'Team Roster'!$A$2</f>
        <v>Enrollment</v>
      </c>
      <c r="F51" s="166"/>
      <c r="G51" s="167" t="s">
        <v>732</v>
      </c>
      <c r="H51" s="168" t="s">
        <v>739</v>
      </c>
      <c r="I51" s="161"/>
      <c r="J51" s="168"/>
      <c r="K51" s="160"/>
      <c r="L51" s="75"/>
      <c r="M51" s="74"/>
    </row>
    <row r="52" spans="1:15">
      <c r="A52" s="164" t="s">
        <v>234</v>
      </c>
      <c r="B52" s="164" t="s">
        <v>235</v>
      </c>
      <c r="C52" s="164" t="s">
        <v>101</v>
      </c>
      <c r="D52" s="165">
        <v>46304</v>
      </c>
      <c r="E52" s="164" t="s">
        <v>33</v>
      </c>
      <c r="F52" s="166"/>
      <c r="G52" s="167" t="s">
        <v>731</v>
      </c>
      <c r="H52" s="168" t="s">
        <v>237</v>
      </c>
      <c r="I52" s="161" t="s">
        <v>238</v>
      </c>
      <c r="J52" s="168" t="s">
        <v>239</v>
      </c>
      <c r="K52" s="160"/>
      <c r="L52" s="75"/>
      <c r="M52" s="74"/>
      <c r="O52" t="s">
        <v>11</v>
      </c>
    </row>
    <row r="53" spans="1:15" ht="24">
      <c r="A53" s="164" t="s">
        <v>145</v>
      </c>
      <c r="B53" s="164" t="s">
        <v>240</v>
      </c>
      <c r="C53" s="164" t="s">
        <v>101</v>
      </c>
      <c r="D53" s="165">
        <v>46304</v>
      </c>
      <c r="E53" s="164" t="s">
        <v>119</v>
      </c>
      <c r="F53" s="166"/>
      <c r="G53" s="167" t="s">
        <v>731</v>
      </c>
      <c r="H53" s="168" t="s">
        <v>237</v>
      </c>
      <c r="I53" s="161" t="s">
        <v>241</v>
      </c>
      <c r="J53" s="168" t="s">
        <v>242</v>
      </c>
      <c r="K53" s="160"/>
      <c r="L53" s="75"/>
      <c r="M53" s="74"/>
      <c r="O53" t="s">
        <v>14</v>
      </c>
    </row>
    <row r="54" spans="1:15">
      <c r="A54" s="164" t="s">
        <v>166</v>
      </c>
      <c r="B54" s="164" t="s">
        <v>243</v>
      </c>
      <c r="C54" s="164" t="s">
        <v>101</v>
      </c>
      <c r="D54" s="165">
        <v>46304</v>
      </c>
      <c r="E54" s="164" t="s">
        <v>11</v>
      </c>
      <c r="F54" s="166"/>
      <c r="G54" s="167" t="s">
        <v>731</v>
      </c>
      <c r="H54" s="168" t="s">
        <v>244</v>
      </c>
      <c r="I54" s="161" t="s">
        <v>11</v>
      </c>
      <c r="J54" s="168" t="s">
        <v>245</v>
      </c>
      <c r="K54" s="160"/>
      <c r="L54" s="75"/>
      <c r="M54" s="74"/>
      <c r="O54" t="s">
        <v>16</v>
      </c>
    </row>
    <row r="55" spans="1:15">
      <c r="A55" s="164" t="s">
        <v>246</v>
      </c>
      <c r="B55" s="164" t="s">
        <v>247</v>
      </c>
      <c r="C55" s="164" t="s">
        <v>101</v>
      </c>
      <c r="D55" s="165">
        <v>46304</v>
      </c>
      <c r="E55" s="164" t="s">
        <v>25</v>
      </c>
      <c r="F55" s="166"/>
      <c r="G55" s="167" t="s">
        <v>731</v>
      </c>
      <c r="H55" s="168" t="s">
        <v>244</v>
      </c>
      <c r="I55" s="161" t="s">
        <v>16</v>
      </c>
      <c r="J55" s="168" t="s">
        <v>248</v>
      </c>
      <c r="K55" s="160"/>
      <c r="L55" s="75"/>
      <c r="M55" s="74"/>
      <c r="O55" t="s">
        <v>27</v>
      </c>
    </row>
    <row r="56" spans="1:15">
      <c r="A56" s="164" t="s">
        <v>249</v>
      </c>
      <c r="B56" s="164" t="s">
        <v>250</v>
      </c>
      <c r="C56" s="164" t="s">
        <v>101</v>
      </c>
      <c r="D56" s="165">
        <v>46304</v>
      </c>
      <c r="E56" s="164" t="s">
        <v>16</v>
      </c>
      <c r="F56" s="166"/>
      <c r="G56" s="167" t="s">
        <v>731</v>
      </c>
      <c r="H56" s="168" t="s">
        <v>251</v>
      </c>
      <c r="I56" s="161" t="s">
        <v>252</v>
      </c>
      <c r="J56" s="168" t="s">
        <v>253</v>
      </c>
      <c r="K56" s="160"/>
      <c r="L56" s="75"/>
      <c r="M56" s="74"/>
      <c r="O56" t="s">
        <v>18</v>
      </c>
    </row>
    <row r="57" spans="1:15">
      <c r="A57" s="164" t="s">
        <v>254</v>
      </c>
      <c r="B57" s="164" t="s">
        <v>255</v>
      </c>
      <c r="C57" s="164" t="s">
        <v>101</v>
      </c>
      <c r="D57" s="165">
        <v>46304</v>
      </c>
      <c r="E57" s="164" t="s">
        <v>16</v>
      </c>
      <c r="F57" s="166"/>
      <c r="G57" s="167" t="s">
        <v>731</v>
      </c>
      <c r="H57" s="168" t="s">
        <v>256</v>
      </c>
      <c r="I57" s="161" t="s">
        <v>257</v>
      </c>
      <c r="J57" s="168" t="s">
        <v>258</v>
      </c>
      <c r="K57" s="160"/>
      <c r="L57" s="75"/>
      <c r="M57" s="74"/>
      <c r="O57" t="s">
        <v>22</v>
      </c>
    </row>
    <row r="58" spans="1:15">
      <c r="A58" s="164" t="s">
        <v>259</v>
      </c>
      <c r="B58" s="164" t="s">
        <v>260</v>
      </c>
      <c r="C58" s="164" t="s">
        <v>101</v>
      </c>
      <c r="D58" s="165">
        <v>46304</v>
      </c>
      <c r="E58" s="164" t="s">
        <v>11</v>
      </c>
      <c r="F58" s="166"/>
      <c r="G58" s="167" t="s">
        <v>731</v>
      </c>
      <c r="H58" s="168" t="s">
        <v>237</v>
      </c>
      <c r="I58" s="161" t="s">
        <v>261</v>
      </c>
      <c r="J58" s="168" t="s">
        <v>253</v>
      </c>
      <c r="K58" s="160"/>
      <c r="L58" s="75"/>
      <c r="M58" s="74"/>
      <c r="O58" t="s">
        <v>25</v>
      </c>
    </row>
    <row r="59" spans="1:15">
      <c r="A59" s="164" t="s">
        <v>264</v>
      </c>
      <c r="B59" s="164" t="s">
        <v>265</v>
      </c>
      <c r="C59" s="164" t="s">
        <v>101</v>
      </c>
      <c r="D59" s="165">
        <v>46304</v>
      </c>
      <c r="E59" s="164" t="s">
        <v>14</v>
      </c>
      <c r="F59" s="166"/>
      <c r="G59" s="167" t="s">
        <v>731</v>
      </c>
      <c r="H59" s="168" t="s">
        <v>244</v>
      </c>
      <c r="I59" s="161"/>
      <c r="J59" s="168" t="s">
        <v>239</v>
      </c>
      <c r="K59" s="160"/>
      <c r="L59" s="75"/>
      <c r="M59" s="74"/>
      <c r="O59" t="s">
        <v>30</v>
      </c>
    </row>
    <row r="60" spans="1:15">
      <c r="A60" s="164" t="s">
        <v>266</v>
      </c>
      <c r="B60" s="164" t="s">
        <v>267</v>
      </c>
      <c r="C60" s="164" t="s">
        <v>101</v>
      </c>
      <c r="D60" s="165">
        <v>46304</v>
      </c>
      <c r="E60" s="164" t="s">
        <v>11</v>
      </c>
      <c r="F60" s="166"/>
      <c r="G60" s="167" t="s">
        <v>731</v>
      </c>
      <c r="H60" s="168" t="s">
        <v>268</v>
      </c>
      <c r="I60" s="161" t="s">
        <v>14</v>
      </c>
      <c r="J60" s="168" t="s">
        <v>239</v>
      </c>
      <c r="K60" s="160"/>
      <c r="L60" s="75"/>
      <c r="M60" s="74"/>
      <c r="O60" t="s">
        <v>236</v>
      </c>
    </row>
    <row r="61" spans="1:15" ht="24">
      <c r="A61" s="164" t="s">
        <v>269</v>
      </c>
      <c r="B61" s="164" t="s">
        <v>247</v>
      </c>
      <c r="C61" s="164" t="s">
        <v>101</v>
      </c>
      <c r="D61" s="165">
        <v>46304</v>
      </c>
      <c r="E61" s="164" t="s">
        <v>16</v>
      </c>
      <c r="F61" s="166"/>
      <c r="G61" s="167" t="s">
        <v>731</v>
      </c>
      <c r="H61" s="168" t="s">
        <v>244</v>
      </c>
      <c r="I61" s="161" t="s">
        <v>270</v>
      </c>
      <c r="J61" s="168" t="s">
        <v>239</v>
      </c>
      <c r="K61" s="160"/>
      <c r="L61" s="75"/>
      <c r="M61" s="74"/>
      <c r="O61" t="s">
        <v>271</v>
      </c>
    </row>
    <row r="62" spans="1:15">
      <c r="A62" s="164" t="s">
        <v>272</v>
      </c>
      <c r="B62" s="164" t="s">
        <v>273</v>
      </c>
      <c r="C62" s="164" t="s">
        <v>101</v>
      </c>
      <c r="D62" s="165">
        <v>46304</v>
      </c>
      <c r="E62" s="164" t="s">
        <v>18</v>
      </c>
      <c r="F62" s="166"/>
      <c r="G62" s="167" t="s">
        <v>731</v>
      </c>
      <c r="H62" s="168" t="s">
        <v>274</v>
      </c>
      <c r="I62" s="161" t="s">
        <v>275</v>
      </c>
      <c r="J62" s="168" t="s">
        <v>276</v>
      </c>
      <c r="K62" s="160"/>
      <c r="L62" s="75"/>
      <c r="M62" s="74"/>
      <c r="O62" t="s">
        <v>277</v>
      </c>
    </row>
    <row r="63" spans="1:15">
      <c r="A63" s="164" t="s">
        <v>278</v>
      </c>
      <c r="B63" s="164" t="s">
        <v>279</v>
      </c>
      <c r="C63" s="164" t="s">
        <v>101</v>
      </c>
      <c r="D63" s="165">
        <v>46304</v>
      </c>
      <c r="E63" s="164" t="s">
        <v>25</v>
      </c>
      <c r="F63" s="166"/>
      <c r="G63" s="167" t="s">
        <v>731</v>
      </c>
      <c r="H63" s="168" t="s">
        <v>280</v>
      </c>
      <c r="I63" s="161" t="s">
        <v>281</v>
      </c>
      <c r="J63" s="168" t="s">
        <v>282</v>
      </c>
      <c r="K63" s="160"/>
      <c r="L63" s="75"/>
      <c r="M63" s="74"/>
      <c r="O63" t="s">
        <v>283</v>
      </c>
    </row>
    <row r="64" spans="1:15">
      <c r="A64" s="164" t="s">
        <v>284</v>
      </c>
      <c r="B64" s="164" t="s">
        <v>285</v>
      </c>
      <c r="C64" s="164" t="s">
        <v>101</v>
      </c>
      <c r="D64" s="165">
        <v>46304</v>
      </c>
      <c r="E64" s="164" t="s">
        <v>18</v>
      </c>
      <c r="F64" s="166"/>
      <c r="G64" s="167" t="s">
        <v>731</v>
      </c>
      <c r="H64" s="168" t="s">
        <v>237</v>
      </c>
      <c r="I64" s="161" t="s">
        <v>16</v>
      </c>
      <c r="J64" s="168" t="s">
        <v>253</v>
      </c>
      <c r="K64" s="160"/>
      <c r="L64" s="75"/>
      <c r="M64" s="74"/>
      <c r="O64" t="s">
        <v>286</v>
      </c>
    </row>
    <row r="65" spans="1:15" ht="24">
      <c r="A65" s="164" t="s">
        <v>287</v>
      </c>
      <c r="B65" s="164" t="s">
        <v>288</v>
      </c>
      <c r="C65" s="164" t="s">
        <v>101</v>
      </c>
      <c r="D65" s="165">
        <v>46304</v>
      </c>
      <c r="E65" s="164" t="s">
        <v>18</v>
      </c>
      <c r="F65" s="166"/>
      <c r="G65" s="167" t="s">
        <v>731</v>
      </c>
      <c r="H65" s="168" t="s">
        <v>251</v>
      </c>
      <c r="I65" s="161" t="s">
        <v>289</v>
      </c>
      <c r="J65" s="168" t="s">
        <v>290</v>
      </c>
      <c r="K65" s="160"/>
      <c r="L65" s="75"/>
      <c r="M65" s="74"/>
      <c r="O65" t="s">
        <v>87</v>
      </c>
    </row>
    <row r="66" spans="1:15">
      <c r="A66" s="164" t="s">
        <v>291</v>
      </c>
      <c r="B66" s="164" t="s">
        <v>292</v>
      </c>
      <c r="C66" s="164" t="s">
        <v>101</v>
      </c>
      <c r="D66" s="165">
        <v>46304</v>
      </c>
      <c r="E66" s="164" t="s">
        <v>16</v>
      </c>
      <c r="F66" s="166"/>
      <c r="G66" s="167" t="s">
        <v>731</v>
      </c>
      <c r="H66" s="168" t="s">
        <v>244</v>
      </c>
      <c r="I66" s="161" t="s">
        <v>293</v>
      </c>
      <c r="J66" s="168" t="s">
        <v>258</v>
      </c>
      <c r="K66" s="160"/>
      <c r="L66" s="75"/>
      <c r="M66" s="74"/>
      <c r="O66" t="s">
        <v>89</v>
      </c>
    </row>
    <row r="67" spans="1:15">
      <c r="A67" s="164" t="s">
        <v>305</v>
      </c>
      <c r="B67" s="164" t="s">
        <v>306</v>
      </c>
      <c r="C67" s="164" t="s">
        <v>193</v>
      </c>
      <c r="D67" s="165">
        <v>46293</v>
      </c>
      <c r="E67" s="164" t="s">
        <v>18</v>
      </c>
      <c r="F67" s="166"/>
      <c r="G67" s="167" t="s">
        <v>731</v>
      </c>
      <c r="H67" s="168"/>
      <c r="I67" s="161"/>
      <c r="J67" s="168"/>
      <c r="K67" s="160"/>
      <c r="L67" s="75"/>
      <c r="M67" s="74"/>
    </row>
    <row r="68" spans="1:15">
      <c r="A68" s="164" t="s">
        <v>307</v>
      </c>
      <c r="B68" s="164" t="s">
        <v>308</v>
      </c>
      <c r="C68" s="164" t="s">
        <v>193</v>
      </c>
      <c r="D68" s="165">
        <v>46293</v>
      </c>
      <c r="E68" s="164" t="s">
        <v>119</v>
      </c>
      <c r="F68" s="166"/>
      <c r="G68" s="167" t="s">
        <v>731</v>
      </c>
      <c r="H68" s="168"/>
      <c r="I68" s="161"/>
      <c r="J68" s="168"/>
      <c r="K68" s="160"/>
      <c r="L68" s="75"/>
      <c r="M68" s="74"/>
    </row>
    <row r="69" spans="1:15" ht="24">
      <c r="A69" s="164" t="s">
        <v>314</v>
      </c>
      <c r="B69" s="164" t="s">
        <v>315</v>
      </c>
      <c r="C69" s="164" t="s">
        <v>101</v>
      </c>
      <c r="D69" s="165">
        <v>46304</v>
      </c>
      <c r="E69" s="164" t="s">
        <v>119</v>
      </c>
      <c r="F69" s="166"/>
      <c r="G69" s="167" t="s">
        <v>731</v>
      </c>
      <c r="H69" s="168" t="s">
        <v>316</v>
      </c>
      <c r="I69" s="161" t="s">
        <v>16</v>
      </c>
      <c r="J69" s="168" t="s">
        <v>317</v>
      </c>
      <c r="K69" s="160"/>
      <c r="L69" s="75"/>
      <c r="M69" s="74"/>
      <c r="O69" t="s">
        <v>93</v>
      </c>
    </row>
    <row r="70" spans="1:15">
      <c r="A70" s="164" t="s">
        <v>318</v>
      </c>
      <c r="B70" s="164" t="s">
        <v>319</v>
      </c>
      <c r="C70" s="164" t="s">
        <v>101</v>
      </c>
      <c r="D70" s="165">
        <v>46304</v>
      </c>
      <c r="E70" s="164" t="s">
        <v>33</v>
      </c>
      <c r="F70" s="166"/>
      <c r="G70" s="167" t="s">
        <v>731</v>
      </c>
      <c r="H70" s="168" t="s">
        <v>237</v>
      </c>
      <c r="I70" s="161" t="s">
        <v>22</v>
      </c>
      <c r="J70" s="168" t="s">
        <v>320</v>
      </c>
      <c r="K70" s="160"/>
      <c r="L70" s="75"/>
      <c r="M70" s="74"/>
      <c r="O70" t="s">
        <v>95</v>
      </c>
    </row>
    <row r="71" spans="1:15">
      <c r="A71" s="164" t="s">
        <v>321</v>
      </c>
      <c r="B71" s="164" t="s">
        <v>217</v>
      </c>
      <c r="C71" s="164" t="s">
        <v>101</v>
      </c>
      <c r="D71" s="165">
        <v>46304</v>
      </c>
      <c r="E71" s="164" t="s">
        <v>25</v>
      </c>
      <c r="F71" s="166"/>
      <c r="G71" s="167" t="s">
        <v>731</v>
      </c>
      <c r="H71" s="168" t="s">
        <v>244</v>
      </c>
      <c r="I71" s="161" t="s">
        <v>16</v>
      </c>
      <c r="J71" s="168" t="s">
        <v>322</v>
      </c>
      <c r="K71" s="160"/>
      <c r="L71" s="75"/>
      <c r="M71" s="74"/>
      <c r="O71" t="s">
        <v>97</v>
      </c>
    </row>
    <row r="72" spans="1:15">
      <c r="A72" s="164" t="s">
        <v>328</v>
      </c>
      <c r="B72" s="164" t="s">
        <v>329</v>
      </c>
      <c r="C72" s="164" t="s">
        <v>101</v>
      </c>
      <c r="D72" s="165">
        <v>46304</v>
      </c>
      <c r="E72" s="164" t="s">
        <v>37</v>
      </c>
      <c r="F72" s="166"/>
      <c r="G72" s="167" t="s">
        <v>731</v>
      </c>
      <c r="H72" s="168" t="s">
        <v>251</v>
      </c>
      <c r="I72" s="161"/>
      <c r="J72" s="168"/>
      <c r="K72" s="160"/>
      <c r="L72" s="75"/>
      <c r="M72" s="74"/>
    </row>
    <row r="73" spans="1:15">
      <c r="A73" s="164" t="s">
        <v>330</v>
      </c>
      <c r="B73" s="164" t="s">
        <v>331</v>
      </c>
      <c r="C73" s="164" t="s">
        <v>101</v>
      </c>
      <c r="D73" s="165">
        <v>46304</v>
      </c>
      <c r="E73" s="164" t="s">
        <v>37</v>
      </c>
      <c r="F73" s="166"/>
      <c r="G73" s="167" t="s">
        <v>731</v>
      </c>
      <c r="H73" s="168" t="s">
        <v>251</v>
      </c>
      <c r="I73" s="161"/>
      <c r="J73" s="168"/>
      <c r="K73" s="160"/>
      <c r="L73" s="75"/>
      <c r="M73" s="74"/>
    </row>
    <row r="74" spans="1:15">
      <c r="A74" s="164" t="s">
        <v>332</v>
      </c>
      <c r="B74" s="164" t="s">
        <v>285</v>
      </c>
      <c r="C74" s="164" t="s">
        <v>101</v>
      </c>
      <c r="D74" s="165">
        <v>46304</v>
      </c>
      <c r="E74" s="164" t="s">
        <v>119</v>
      </c>
      <c r="F74" s="166"/>
      <c r="G74" s="167" t="s">
        <v>731</v>
      </c>
      <c r="H74" s="168" t="s">
        <v>333</v>
      </c>
      <c r="I74" s="161" t="s">
        <v>293</v>
      </c>
      <c r="J74" s="168" t="s">
        <v>334</v>
      </c>
      <c r="K74" s="160"/>
      <c r="L74" s="75"/>
      <c r="M74" s="74"/>
    </row>
    <row r="75" spans="1:15">
      <c r="A75" s="164" t="s">
        <v>335</v>
      </c>
      <c r="B75" s="164" t="s">
        <v>247</v>
      </c>
      <c r="C75" s="164" t="s">
        <v>101</v>
      </c>
      <c r="D75" s="165">
        <v>46304</v>
      </c>
      <c r="E75" s="164" t="s">
        <v>119</v>
      </c>
      <c r="F75" s="166"/>
      <c r="G75" s="167" t="s">
        <v>731</v>
      </c>
      <c r="H75" s="168" t="s">
        <v>336</v>
      </c>
      <c r="I75" s="161" t="s">
        <v>337</v>
      </c>
      <c r="J75" s="168" t="s">
        <v>338</v>
      </c>
      <c r="K75" s="160"/>
      <c r="L75" s="75"/>
      <c r="M75" s="74"/>
    </row>
    <row r="76" spans="1:15">
      <c r="A76" s="164" t="s">
        <v>339</v>
      </c>
      <c r="B76" s="164" t="s">
        <v>340</v>
      </c>
      <c r="C76" s="164" t="s">
        <v>101</v>
      </c>
      <c r="D76" s="165">
        <v>46304</v>
      </c>
      <c r="E76" s="164" t="s">
        <v>16</v>
      </c>
      <c r="F76" s="166"/>
      <c r="G76" s="167" t="s">
        <v>731</v>
      </c>
      <c r="H76" s="168" t="s">
        <v>333</v>
      </c>
      <c r="I76" s="161" t="s">
        <v>16</v>
      </c>
      <c r="J76" s="168" t="s">
        <v>341</v>
      </c>
      <c r="K76" s="160"/>
      <c r="L76" s="75"/>
      <c r="M76" s="74"/>
    </row>
    <row r="77" spans="1:15">
      <c r="A77" s="164" t="s">
        <v>342</v>
      </c>
      <c r="B77" s="164" t="s">
        <v>343</v>
      </c>
      <c r="C77" s="164" t="s">
        <v>101</v>
      </c>
      <c r="D77" s="165">
        <v>46304</v>
      </c>
      <c r="E77" s="164" t="s">
        <v>119</v>
      </c>
      <c r="F77" s="166"/>
      <c r="G77" s="167" t="s">
        <v>731</v>
      </c>
      <c r="H77" s="168" t="s">
        <v>333</v>
      </c>
      <c r="I77" s="161" t="s">
        <v>22</v>
      </c>
      <c r="J77" s="168" t="s">
        <v>334</v>
      </c>
      <c r="K77" s="160"/>
      <c r="L77" s="75"/>
      <c r="M77" s="74"/>
    </row>
    <row r="78" spans="1:15" ht="24">
      <c r="A78" s="164" t="s">
        <v>344</v>
      </c>
      <c r="B78" s="164" t="s">
        <v>217</v>
      </c>
      <c r="C78" s="164" t="s">
        <v>101</v>
      </c>
      <c r="D78" s="165">
        <v>46304</v>
      </c>
      <c r="E78" s="164" t="s">
        <v>16</v>
      </c>
      <c r="F78" s="166"/>
      <c r="G78" s="167" t="s">
        <v>731</v>
      </c>
      <c r="H78" s="168" t="s">
        <v>333</v>
      </c>
      <c r="I78" s="161" t="s">
        <v>345</v>
      </c>
      <c r="J78" s="168" t="s">
        <v>346</v>
      </c>
      <c r="K78" s="160"/>
      <c r="L78" s="75"/>
      <c r="M78" s="74"/>
    </row>
    <row r="79" spans="1:15" ht="24">
      <c r="A79" s="164" t="s">
        <v>347</v>
      </c>
      <c r="B79" s="164" t="s">
        <v>348</v>
      </c>
      <c r="C79" s="164" t="s">
        <v>101</v>
      </c>
      <c r="D79" s="165">
        <v>46304</v>
      </c>
      <c r="E79" s="164" t="s">
        <v>14</v>
      </c>
      <c r="F79" s="166"/>
      <c r="G79" s="167" t="s">
        <v>731</v>
      </c>
      <c r="H79" s="168" t="s">
        <v>244</v>
      </c>
      <c r="I79" s="161" t="s">
        <v>22</v>
      </c>
      <c r="J79" s="168" t="s">
        <v>349</v>
      </c>
      <c r="K79" s="160"/>
      <c r="L79" s="75"/>
      <c r="M79" s="74"/>
    </row>
    <row r="80" spans="1:15">
      <c r="A80" s="164" t="s">
        <v>313</v>
      </c>
      <c r="B80" s="164" t="s">
        <v>352</v>
      </c>
      <c r="C80" s="164" t="s">
        <v>101</v>
      </c>
      <c r="D80" s="165">
        <v>46304</v>
      </c>
      <c r="E80" s="164" t="s">
        <v>14</v>
      </c>
      <c r="F80" s="166"/>
      <c r="G80" s="167" t="s">
        <v>731</v>
      </c>
      <c r="H80" s="168" t="s">
        <v>251</v>
      </c>
      <c r="I80" s="161" t="s">
        <v>14</v>
      </c>
      <c r="J80" s="168"/>
      <c r="K80" s="160"/>
      <c r="L80" s="75"/>
      <c r="M80" s="74"/>
    </row>
    <row r="81" spans="1:15">
      <c r="A81" s="164" t="s">
        <v>353</v>
      </c>
      <c r="B81" s="164" t="s">
        <v>354</v>
      </c>
      <c r="C81" s="164" t="s">
        <v>101</v>
      </c>
      <c r="D81" s="165">
        <v>46304</v>
      </c>
      <c r="E81" s="164" t="s">
        <v>18</v>
      </c>
      <c r="F81" s="166"/>
      <c r="G81" s="167" t="s">
        <v>731</v>
      </c>
      <c r="H81" s="168" t="s">
        <v>355</v>
      </c>
      <c r="I81" s="161"/>
      <c r="J81" s="168"/>
      <c r="K81" s="160"/>
      <c r="L81" s="75"/>
      <c r="M81" s="74"/>
    </row>
    <row r="82" spans="1:15">
      <c r="A82" s="164" t="s">
        <v>356</v>
      </c>
      <c r="B82" s="164" t="s">
        <v>357</v>
      </c>
      <c r="C82" s="164" t="s">
        <v>101</v>
      </c>
      <c r="D82" s="165">
        <v>46304</v>
      </c>
      <c r="E82" s="164" t="s">
        <v>11</v>
      </c>
      <c r="F82" s="166"/>
      <c r="G82" s="167" t="s">
        <v>731</v>
      </c>
      <c r="H82" s="168" t="s">
        <v>251</v>
      </c>
      <c r="I82" s="161"/>
      <c r="J82" s="168"/>
      <c r="K82" s="160"/>
      <c r="L82" s="75"/>
      <c r="M82" s="74"/>
    </row>
    <row r="83" spans="1:15">
      <c r="A83" s="164" t="s">
        <v>360</v>
      </c>
      <c r="B83" s="164" t="s">
        <v>361</v>
      </c>
      <c r="C83" s="164" t="s">
        <v>101</v>
      </c>
      <c r="D83" s="165">
        <v>46310</v>
      </c>
      <c r="E83" s="164" t="s">
        <v>286</v>
      </c>
      <c r="F83" s="166"/>
      <c r="G83" s="167" t="s">
        <v>731</v>
      </c>
      <c r="H83" s="168"/>
      <c r="I83" s="161"/>
      <c r="J83" s="168"/>
      <c r="K83" s="160"/>
      <c r="L83" s="75"/>
      <c r="M83" s="74"/>
    </row>
    <row r="84" spans="1:15">
      <c r="A84" s="164" t="s">
        <v>362</v>
      </c>
      <c r="B84" s="164" t="s">
        <v>363</v>
      </c>
      <c r="C84" s="164" t="s">
        <v>101</v>
      </c>
      <c r="D84" s="165">
        <v>46308</v>
      </c>
      <c r="E84" s="164" t="s">
        <v>119</v>
      </c>
      <c r="F84" s="166"/>
      <c r="G84" s="167" t="s">
        <v>731</v>
      </c>
      <c r="H84" s="168"/>
      <c r="I84" s="161"/>
      <c r="J84" s="168"/>
      <c r="K84" s="160"/>
      <c r="L84" s="75"/>
      <c r="M84" s="74"/>
    </row>
    <row r="85" spans="1:15">
      <c r="A85" s="164" t="s">
        <v>364</v>
      </c>
      <c r="B85" s="164" t="s">
        <v>308</v>
      </c>
      <c r="C85" s="164" t="s">
        <v>101</v>
      </c>
      <c r="D85" s="165">
        <v>46308</v>
      </c>
      <c r="E85" s="164" t="s">
        <v>18</v>
      </c>
      <c r="F85" s="166"/>
      <c r="G85" s="167" t="s">
        <v>731</v>
      </c>
      <c r="H85" s="168"/>
      <c r="I85" s="161"/>
      <c r="J85" s="168"/>
      <c r="K85" s="160"/>
      <c r="L85" s="75"/>
      <c r="M85" s="74"/>
    </row>
    <row r="86" spans="1:15">
      <c r="A86" s="164" t="s">
        <v>365</v>
      </c>
      <c r="B86" s="164" t="s">
        <v>366</v>
      </c>
      <c r="C86" s="164" t="s">
        <v>101</v>
      </c>
      <c r="D86" s="165">
        <v>46308</v>
      </c>
      <c r="E86" s="164" t="s">
        <v>25</v>
      </c>
      <c r="F86" s="166"/>
      <c r="G86" s="167" t="s">
        <v>731</v>
      </c>
      <c r="H86" s="168"/>
      <c r="I86" s="161"/>
      <c r="J86" s="168"/>
      <c r="K86" s="160"/>
      <c r="L86" s="75"/>
      <c r="M86" s="74"/>
    </row>
    <row r="87" spans="1:15">
      <c r="A87" s="164" t="s">
        <v>367</v>
      </c>
      <c r="B87" s="164" t="s">
        <v>368</v>
      </c>
      <c r="C87" s="164" t="s">
        <v>101</v>
      </c>
      <c r="D87" s="165">
        <v>46308</v>
      </c>
      <c r="E87" s="164" t="s">
        <v>16</v>
      </c>
      <c r="F87" s="166"/>
      <c r="G87" s="167" t="s">
        <v>731</v>
      </c>
      <c r="H87" s="168"/>
      <c r="I87" s="161"/>
      <c r="J87" s="168"/>
      <c r="K87" s="160"/>
      <c r="L87" s="75"/>
      <c r="M87" s="74"/>
    </row>
    <row r="88" spans="1:15">
      <c r="A88" s="164" t="s">
        <v>369</v>
      </c>
      <c r="B88" s="164" t="s">
        <v>370</v>
      </c>
      <c r="C88" s="164" t="s">
        <v>101</v>
      </c>
      <c r="D88" s="165">
        <v>46308</v>
      </c>
      <c r="E88" s="164" t="s">
        <v>18</v>
      </c>
      <c r="F88" s="166"/>
      <c r="G88" s="167" t="s">
        <v>731</v>
      </c>
      <c r="H88" s="168"/>
      <c r="I88" s="161"/>
      <c r="J88" s="168"/>
      <c r="K88" s="160"/>
      <c r="L88" s="75"/>
      <c r="M88" s="74"/>
    </row>
    <row r="89" spans="1:15">
      <c r="A89" s="164" t="s">
        <v>372</v>
      </c>
      <c r="B89" s="164" t="s">
        <v>373</v>
      </c>
      <c r="C89" s="164" t="s">
        <v>101</v>
      </c>
      <c r="D89" s="165">
        <v>46308</v>
      </c>
      <c r="E89" s="164" t="s">
        <v>11</v>
      </c>
      <c r="F89" s="166"/>
      <c r="G89" s="167" t="s">
        <v>731</v>
      </c>
      <c r="H89" s="168"/>
      <c r="I89" s="161"/>
      <c r="J89" s="168"/>
      <c r="K89" s="160"/>
      <c r="L89" s="75"/>
      <c r="M89" s="74"/>
    </row>
    <row r="90" spans="1:15">
      <c r="A90" s="164" t="s">
        <v>374</v>
      </c>
      <c r="B90" s="164" t="s">
        <v>375</v>
      </c>
      <c r="C90" s="164" t="s">
        <v>101</v>
      </c>
      <c r="D90" s="165">
        <v>46308</v>
      </c>
      <c r="E90" s="164" t="s">
        <v>16</v>
      </c>
      <c r="F90" s="166"/>
      <c r="G90" s="167" t="s">
        <v>731</v>
      </c>
      <c r="H90" s="168"/>
      <c r="I90" s="161"/>
      <c r="J90" s="168"/>
      <c r="K90" s="160"/>
      <c r="L90" s="75"/>
      <c r="M90" s="74"/>
    </row>
    <row r="91" spans="1:15">
      <c r="A91" s="164" t="s">
        <v>154</v>
      </c>
      <c r="B91" s="164" t="s">
        <v>324</v>
      </c>
      <c r="C91" s="164" t="s">
        <v>193</v>
      </c>
      <c r="D91" s="165">
        <v>46307</v>
      </c>
      <c r="E91" s="164" t="s">
        <v>14</v>
      </c>
      <c r="F91" s="166"/>
      <c r="G91" s="167" t="s">
        <v>731</v>
      </c>
      <c r="H91" s="168"/>
      <c r="I91" s="161"/>
      <c r="J91" s="168"/>
      <c r="K91" s="160"/>
      <c r="L91" s="75"/>
      <c r="M91" s="74"/>
    </row>
    <row r="92" spans="1:15">
      <c r="A92" s="164" t="s">
        <v>358</v>
      </c>
      <c r="B92" s="164" t="s">
        <v>359</v>
      </c>
      <c r="C92" s="164" t="s">
        <v>101</v>
      </c>
      <c r="D92" s="165">
        <v>46310</v>
      </c>
      <c r="E92" s="164" t="s">
        <v>286</v>
      </c>
      <c r="F92" s="166"/>
      <c r="G92" s="167" t="s">
        <v>731</v>
      </c>
      <c r="H92" s="168"/>
      <c r="I92" s="161"/>
      <c r="J92" s="168"/>
      <c r="K92" s="160"/>
      <c r="L92" s="75"/>
      <c r="M92" s="74"/>
    </row>
    <row r="93" spans="1:15">
      <c r="A93" s="164" t="s">
        <v>761</v>
      </c>
      <c r="B93" s="164" t="s">
        <v>762</v>
      </c>
      <c r="C93" s="164" t="s">
        <v>101</v>
      </c>
      <c r="D93" s="165">
        <v>46309</v>
      </c>
      <c r="E93" s="164" t="s">
        <v>25</v>
      </c>
      <c r="F93" s="166"/>
      <c r="G93" s="167" t="s">
        <v>767</v>
      </c>
      <c r="H93" s="168" t="s">
        <v>262</v>
      </c>
      <c r="I93" s="161" t="s">
        <v>263</v>
      </c>
      <c r="J93" s="168" t="s">
        <v>239</v>
      </c>
      <c r="K93" s="160"/>
      <c r="L93" s="75"/>
      <c r="M93" s="74"/>
      <c r="O93" t="s">
        <v>28</v>
      </c>
    </row>
    <row r="94" spans="1:15">
      <c r="A94" s="164" t="s">
        <v>309</v>
      </c>
      <c r="B94" s="164" t="s">
        <v>310</v>
      </c>
      <c r="C94" s="164" t="s">
        <v>193</v>
      </c>
      <c r="D94" s="165">
        <v>46317</v>
      </c>
      <c r="E94" s="164" t="s">
        <v>16</v>
      </c>
      <c r="F94" s="166"/>
      <c r="G94" s="167" t="s">
        <v>767</v>
      </c>
      <c r="H94" s="168" t="s">
        <v>739</v>
      </c>
      <c r="I94" s="161"/>
      <c r="J94" s="168"/>
      <c r="K94" s="160"/>
      <c r="L94" s="75"/>
      <c r="M94" s="74"/>
    </row>
    <row r="95" spans="1:15">
      <c r="A95" s="164" t="s">
        <v>350</v>
      </c>
      <c r="B95" s="164" t="s">
        <v>351</v>
      </c>
      <c r="C95" s="164" t="s">
        <v>101</v>
      </c>
      <c r="D95" s="165">
        <v>46301</v>
      </c>
      <c r="E95" s="164" t="s">
        <v>33</v>
      </c>
      <c r="F95" s="166"/>
      <c r="G95" s="167" t="s">
        <v>767</v>
      </c>
      <c r="H95" s="168" t="s">
        <v>244</v>
      </c>
      <c r="I95" s="161"/>
      <c r="J95" s="168"/>
      <c r="K95" s="160"/>
      <c r="L95" s="75"/>
      <c r="M95" s="74"/>
    </row>
    <row r="96" spans="1:15">
      <c r="A96" s="164" t="s">
        <v>371</v>
      </c>
      <c r="B96" s="164" t="s">
        <v>323</v>
      </c>
      <c r="C96" s="164" t="s">
        <v>101</v>
      </c>
      <c r="D96" s="165">
        <v>46332</v>
      </c>
      <c r="E96" s="164" t="s">
        <v>11</v>
      </c>
      <c r="F96" s="166"/>
      <c r="G96" s="167" t="s">
        <v>767</v>
      </c>
      <c r="H96" s="168" t="s">
        <v>244</v>
      </c>
      <c r="I96" s="161"/>
      <c r="J96" s="168"/>
      <c r="K96" s="160"/>
      <c r="L96" s="75"/>
      <c r="M96" s="74"/>
    </row>
    <row r="97" spans="1:13">
      <c r="A97" s="164" t="s">
        <v>733</v>
      </c>
      <c r="B97" s="164" t="s">
        <v>772</v>
      </c>
      <c r="C97" s="164" t="s">
        <v>193</v>
      </c>
      <c r="D97" s="165">
        <v>46310</v>
      </c>
      <c r="E97" s="164" t="s">
        <v>18</v>
      </c>
      <c r="F97" s="166"/>
      <c r="G97" s="167" t="s">
        <v>767</v>
      </c>
      <c r="H97" s="168" t="s">
        <v>739</v>
      </c>
      <c r="I97" s="161"/>
      <c r="J97" s="168"/>
      <c r="K97" s="160"/>
      <c r="L97" s="75"/>
      <c r="M97" s="74"/>
    </row>
    <row r="98" spans="1:13">
      <c r="A98" s="164" t="s">
        <v>734</v>
      </c>
      <c r="B98" s="164" t="s">
        <v>774</v>
      </c>
      <c r="C98" s="164" t="s">
        <v>193</v>
      </c>
      <c r="D98" s="165">
        <v>46321</v>
      </c>
      <c r="E98" s="164" t="s">
        <v>25</v>
      </c>
      <c r="F98" s="166"/>
      <c r="G98" s="167" t="s">
        <v>767</v>
      </c>
      <c r="H98" s="168" t="s">
        <v>739</v>
      </c>
      <c r="I98" s="161"/>
      <c r="J98" s="168"/>
      <c r="K98" s="160"/>
      <c r="L98" s="75"/>
      <c r="M98" s="74"/>
    </row>
    <row r="99" spans="1:13">
      <c r="A99" s="164" t="s">
        <v>735</v>
      </c>
      <c r="B99" s="164" t="s">
        <v>737</v>
      </c>
      <c r="C99" s="164" t="s">
        <v>193</v>
      </c>
      <c r="D99" s="165">
        <v>46310</v>
      </c>
      <c r="E99" s="164" t="s">
        <v>119</v>
      </c>
      <c r="F99" s="166"/>
      <c r="G99" s="167" t="s">
        <v>767</v>
      </c>
      <c r="H99" s="168" t="s">
        <v>739</v>
      </c>
      <c r="I99" s="161"/>
      <c r="J99" s="168"/>
      <c r="K99" s="160"/>
      <c r="L99" s="75"/>
      <c r="M99" s="74"/>
    </row>
    <row r="100" spans="1:13">
      <c r="A100" s="164" t="s">
        <v>736</v>
      </c>
      <c r="B100" s="164" t="s">
        <v>773</v>
      </c>
      <c r="C100" s="164" t="s">
        <v>193</v>
      </c>
      <c r="D100" s="165">
        <v>46314</v>
      </c>
      <c r="E100" s="164" t="s">
        <v>738</v>
      </c>
      <c r="F100" s="166"/>
      <c r="G100" s="167" t="s">
        <v>767</v>
      </c>
      <c r="H100" s="168" t="s">
        <v>739</v>
      </c>
      <c r="I100" s="161"/>
      <c r="J100" s="168"/>
      <c r="K100" s="160"/>
      <c r="L100" s="75"/>
      <c r="M100" s="74"/>
    </row>
    <row r="101" spans="1:13">
      <c r="A101" s="164" t="s">
        <v>172</v>
      </c>
      <c r="B101" s="164" t="s">
        <v>760</v>
      </c>
      <c r="C101" s="164" t="s">
        <v>101</v>
      </c>
      <c r="D101" s="165">
        <v>46307</v>
      </c>
      <c r="E101" s="164" t="s">
        <v>770</v>
      </c>
      <c r="F101" s="166"/>
      <c r="G101" s="164" t="s">
        <v>767</v>
      </c>
      <c r="H101" s="168"/>
      <c r="I101" s="161"/>
      <c r="J101" s="168"/>
      <c r="K101" s="160"/>
      <c r="L101" s="75"/>
      <c r="M101" s="74"/>
    </row>
    <row r="102" spans="1:13">
      <c r="A102" s="164" t="s">
        <v>173</v>
      </c>
      <c r="B102" s="164" t="s">
        <v>750</v>
      </c>
      <c r="C102" s="164" t="s">
        <v>101</v>
      </c>
      <c r="D102" s="165">
        <v>46307</v>
      </c>
      <c r="E102" s="164" t="s">
        <v>770</v>
      </c>
      <c r="F102" s="166"/>
      <c r="G102" s="164" t="s">
        <v>767</v>
      </c>
      <c r="H102" s="168"/>
      <c r="I102" s="161"/>
      <c r="J102" s="168"/>
      <c r="K102" s="178"/>
      <c r="L102" s="176"/>
      <c r="M102" s="178"/>
    </row>
    <row r="103" spans="1:13">
      <c r="A103" s="164" t="s">
        <v>162</v>
      </c>
      <c r="B103" s="164" t="s">
        <v>751</v>
      </c>
      <c r="C103" s="164" t="s">
        <v>101</v>
      </c>
      <c r="D103" s="165">
        <v>46307</v>
      </c>
      <c r="E103" s="164" t="s">
        <v>770</v>
      </c>
      <c r="F103" s="166"/>
      <c r="G103" s="164" t="s">
        <v>767</v>
      </c>
      <c r="H103" s="168"/>
      <c r="I103" s="161"/>
      <c r="J103" s="168"/>
      <c r="K103" s="178"/>
      <c r="L103" s="176"/>
      <c r="M103" s="178"/>
    </row>
    <row r="104" spans="1:13">
      <c r="A104" s="181" t="s">
        <v>790</v>
      </c>
      <c r="B104" s="181" t="s">
        <v>791</v>
      </c>
      <c r="C104" s="164" t="s">
        <v>101</v>
      </c>
      <c r="D104" s="165">
        <v>46307</v>
      </c>
      <c r="E104" s="164" t="s">
        <v>792</v>
      </c>
      <c r="F104" s="166"/>
      <c r="G104" s="164" t="s">
        <v>767</v>
      </c>
      <c r="H104" s="168"/>
    </row>
  </sheetData>
  <autoFilter ref="A1:G103" xr:uid="{C9314E71-04CF-4C0A-968F-65071696E986}"/>
  <sortState xmlns:xlrd2="http://schemas.microsoft.com/office/spreadsheetml/2017/richdata2" ref="A2:O103">
    <sortCondition ref="G2:G103"/>
  </sortState>
  <conditionalFormatting sqref="A26">
    <cfRule type="duplicateValues" dxfId="7" priority="7"/>
  </conditionalFormatting>
  <conditionalFormatting sqref="A35">
    <cfRule type="duplicateValues" dxfId="6" priority="6"/>
  </conditionalFormatting>
  <conditionalFormatting sqref="A55">
    <cfRule type="duplicateValues" dxfId="5" priority="5"/>
  </conditionalFormatting>
  <conditionalFormatting sqref="A56">
    <cfRule type="duplicateValues" dxfId="4" priority="2"/>
  </conditionalFormatting>
  <dataValidations count="1">
    <dataValidation type="list" allowBlank="1" showInputMessage="1" showErrorMessage="1" sqref="E69 E62:E66 E73 E60 E57:E58 E31 E26 E38 E33:E36 E24 E40 E42:E49 E51:E55" xr:uid="{E54E4ACD-5969-4D9D-86BA-C7E818B07344}">
      <formula1>$O:$O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4D46-B8FF-4444-8730-75D1D61F4C09}">
  <sheetPr>
    <tabColor rgb="FF00B050"/>
  </sheetPr>
  <dimension ref="A1:M104"/>
  <sheetViews>
    <sheetView zoomScaleNormal="100" workbookViewId="0">
      <selection activeCell="B10" sqref="B10"/>
    </sheetView>
  </sheetViews>
  <sheetFormatPr defaultColWidth="8.5703125" defaultRowHeight="15"/>
  <cols>
    <col min="1" max="1" width="17.28515625" bestFit="1" customWidth="1"/>
    <col min="2" max="2" width="20.42578125" bestFit="1" customWidth="1"/>
    <col min="3" max="3" width="10.140625" bestFit="1" customWidth="1"/>
    <col min="4" max="4" width="13.85546875" bestFit="1" customWidth="1"/>
    <col min="5" max="5" width="22.140625" bestFit="1" customWidth="1"/>
    <col min="6" max="6" width="11.42578125" customWidth="1"/>
    <col min="7" max="7" width="17.5703125" bestFit="1" customWidth="1"/>
    <col min="8" max="8" width="19.42578125" bestFit="1" customWidth="1"/>
    <col min="9" max="9" width="21.42578125" customWidth="1"/>
    <col min="10" max="10" width="29.5703125" bestFit="1" customWidth="1"/>
    <col min="11" max="11" width="13.5703125" bestFit="1" customWidth="1"/>
    <col min="12" max="13" width="11.140625" customWidth="1"/>
  </cols>
  <sheetData>
    <row r="1" spans="1:13">
      <c r="A1" s="162" t="s">
        <v>184</v>
      </c>
      <c r="B1" s="162" t="s">
        <v>185</v>
      </c>
      <c r="C1" s="162" t="s">
        <v>130</v>
      </c>
      <c r="D1" s="162" t="s">
        <v>186</v>
      </c>
      <c r="E1" s="162" t="s">
        <v>4</v>
      </c>
      <c r="F1" s="162" t="s">
        <v>187</v>
      </c>
      <c r="G1" s="162" t="s">
        <v>188</v>
      </c>
      <c r="H1" s="163" t="s">
        <v>130</v>
      </c>
      <c r="I1" s="163" t="s">
        <v>189</v>
      </c>
      <c r="J1" s="163" t="s">
        <v>190</v>
      </c>
      <c r="K1" s="64"/>
      <c r="L1" s="64"/>
      <c r="M1" s="64"/>
    </row>
    <row r="2" spans="1:13">
      <c r="A2" s="164" t="s">
        <v>797</v>
      </c>
      <c r="B2" s="164" t="s">
        <v>797</v>
      </c>
      <c r="C2" s="164" t="s">
        <v>193</v>
      </c>
      <c r="D2" s="165">
        <v>46327</v>
      </c>
      <c r="E2" s="164" t="s">
        <v>792</v>
      </c>
      <c r="F2" s="166" t="s">
        <v>798</v>
      </c>
      <c r="G2" s="167" t="s">
        <v>731</v>
      </c>
      <c r="H2" s="168"/>
      <c r="I2" s="161"/>
      <c r="J2" s="168"/>
      <c r="K2" s="160"/>
      <c r="L2" s="75"/>
      <c r="M2" s="74"/>
    </row>
    <row r="3" spans="1:13">
      <c r="A3" s="164"/>
      <c r="B3" s="164"/>
      <c r="C3" s="164"/>
      <c r="D3" s="165"/>
      <c r="E3" s="164"/>
      <c r="F3" s="166"/>
      <c r="G3" s="167"/>
      <c r="H3" s="168"/>
      <c r="I3" s="161"/>
      <c r="J3" s="168"/>
      <c r="K3" s="160"/>
      <c r="L3" s="75"/>
      <c r="M3" s="74"/>
    </row>
    <row r="4" spans="1:13">
      <c r="A4" s="164"/>
      <c r="B4" s="164"/>
      <c r="C4" s="164"/>
      <c r="D4" s="165"/>
      <c r="E4" s="164"/>
      <c r="F4" s="166"/>
      <c r="G4" s="167"/>
      <c r="H4" s="168"/>
      <c r="I4" s="161"/>
      <c r="J4" s="168"/>
      <c r="K4" s="160"/>
      <c r="L4" s="75"/>
      <c r="M4" s="74"/>
    </row>
    <row r="5" spans="1:13">
      <c r="A5" s="164"/>
      <c r="B5" s="164"/>
      <c r="C5" s="164"/>
      <c r="D5" s="165"/>
      <c r="E5" s="164"/>
      <c r="F5" s="166"/>
      <c r="G5" s="167"/>
      <c r="H5" s="168"/>
      <c r="I5" s="161"/>
      <c r="J5" s="168"/>
      <c r="K5" s="160"/>
      <c r="L5" s="75"/>
      <c r="M5" s="74"/>
    </row>
    <row r="6" spans="1:13">
      <c r="A6" s="164"/>
      <c r="B6" s="164"/>
      <c r="C6" s="164"/>
      <c r="D6" s="165"/>
      <c r="E6" s="164"/>
      <c r="F6" s="166"/>
      <c r="G6" s="167"/>
      <c r="H6" s="168"/>
      <c r="I6" s="161"/>
      <c r="J6" s="168"/>
      <c r="K6" s="160"/>
      <c r="L6" s="75"/>
      <c r="M6" s="74"/>
    </row>
    <row r="7" spans="1:13">
      <c r="A7" s="164"/>
      <c r="B7" s="164"/>
      <c r="C7" s="164"/>
      <c r="D7" s="165"/>
      <c r="E7" s="164"/>
      <c r="F7" s="166"/>
      <c r="G7" s="167"/>
      <c r="H7" s="168"/>
      <c r="I7" s="161"/>
      <c r="J7" s="168"/>
      <c r="K7" s="160"/>
      <c r="L7" s="75"/>
      <c r="M7" s="74"/>
    </row>
    <row r="8" spans="1:13">
      <c r="A8" s="164"/>
      <c r="B8" s="164"/>
      <c r="C8" s="164"/>
      <c r="D8" s="165"/>
      <c r="E8" s="164"/>
      <c r="F8" s="166"/>
      <c r="G8" s="167"/>
      <c r="H8" s="168"/>
      <c r="I8" s="161"/>
      <c r="J8" s="168"/>
      <c r="K8" s="160"/>
      <c r="L8" s="75"/>
      <c r="M8" s="74"/>
    </row>
    <row r="9" spans="1:13">
      <c r="A9" s="164"/>
      <c r="B9" s="164"/>
      <c r="C9" s="164"/>
      <c r="D9" s="165"/>
      <c r="E9" s="164"/>
      <c r="F9" s="166"/>
      <c r="G9" s="167"/>
      <c r="H9" s="168"/>
      <c r="I9" s="161"/>
      <c r="J9" s="168"/>
      <c r="K9" s="160"/>
      <c r="L9" s="75"/>
      <c r="M9" s="74"/>
    </row>
    <row r="10" spans="1:13">
      <c r="A10" s="164"/>
      <c r="B10" s="164"/>
      <c r="C10" s="164"/>
      <c r="D10" s="165"/>
      <c r="E10" s="164"/>
      <c r="F10" s="166"/>
      <c r="G10" s="167"/>
      <c r="H10" s="168"/>
      <c r="I10" s="161"/>
      <c r="J10" s="168"/>
      <c r="K10" s="160"/>
      <c r="L10" s="75"/>
      <c r="M10" s="74"/>
    </row>
    <row r="11" spans="1:13">
      <c r="A11" s="164"/>
      <c r="B11" s="164"/>
      <c r="C11" s="164"/>
      <c r="D11" s="165"/>
      <c r="E11" s="164"/>
      <c r="F11" s="166"/>
      <c r="G11" s="167"/>
      <c r="H11" s="168"/>
      <c r="I11" s="161"/>
      <c r="J11" s="168"/>
      <c r="K11" s="160"/>
      <c r="L11" s="75"/>
      <c r="M11" s="74"/>
    </row>
    <row r="12" spans="1:13">
      <c r="A12" s="164"/>
      <c r="B12" s="164"/>
      <c r="C12" s="164"/>
      <c r="D12" s="165"/>
      <c r="E12" s="164"/>
      <c r="F12" s="166"/>
      <c r="G12" s="167"/>
      <c r="H12" s="168"/>
      <c r="I12" s="161"/>
      <c r="J12" s="168"/>
      <c r="K12" s="160"/>
      <c r="L12" s="75"/>
      <c r="M12" s="74"/>
    </row>
    <row r="13" spans="1:13">
      <c r="A13" s="164"/>
      <c r="B13" s="164"/>
      <c r="C13" s="164"/>
      <c r="D13" s="165"/>
      <c r="E13" s="164"/>
      <c r="F13" s="166"/>
      <c r="G13" s="167"/>
      <c r="H13" s="168"/>
      <c r="I13" s="161"/>
      <c r="J13" s="168"/>
      <c r="K13" s="160"/>
      <c r="L13" s="75"/>
      <c r="M13" s="74"/>
    </row>
    <row r="14" spans="1:13">
      <c r="A14" s="164"/>
      <c r="B14" s="164"/>
      <c r="C14" s="164"/>
      <c r="D14" s="165"/>
      <c r="E14" s="164"/>
      <c r="F14" s="166"/>
      <c r="G14" s="167"/>
      <c r="H14" s="168"/>
      <c r="I14" s="161"/>
      <c r="J14" s="168"/>
      <c r="K14" s="160"/>
      <c r="L14" s="75"/>
      <c r="M14" s="74"/>
    </row>
    <row r="15" spans="1:13">
      <c r="A15" s="164"/>
      <c r="B15" s="164"/>
      <c r="C15" s="164"/>
      <c r="D15" s="165"/>
      <c r="E15" s="164"/>
      <c r="F15" s="166"/>
      <c r="G15" s="167"/>
      <c r="H15" s="168"/>
      <c r="I15" s="161"/>
      <c r="J15" s="168"/>
      <c r="K15" s="160"/>
      <c r="L15" s="75"/>
      <c r="M15" s="74"/>
    </row>
    <row r="16" spans="1:13">
      <c r="A16" s="164"/>
      <c r="B16" s="164"/>
      <c r="C16" s="164"/>
      <c r="D16" s="165"/>
      <c r="E16" s="164"/>
      <c r="F16" s="166"/>
      <c r="G16" s="167"/>
      <c r="H16" s="168"/>
      <c r="I16" s="161"/>
      <c r="J16" s="168"/>
      <c r="K16" s="160"/>
      <c r="L16" s="75"/>
      <c r="M16" s="74"/>
    </row>
    <row r="17" spans="1:13">
      <c r="A17" s="164"/>
      <c r="B17" s="164"/>
      <c r="C17" s="164"/>
      <c r="D17" s="165"/>
      <c r="E17" s="164"/>
      <c r="F17" s="166"/>
      <c r="G17" s="167"/>
      <c r="H17" s="168"/>
      <c r="I17" s="161"/>
      <c r="J17" s="168"/>
      <c r="K17" s="160"/>
      <c r="L17" s="75"/>
      <c r="M17" s="74"/>
    </row>
    <row r="18" spans="1:13">
      <c r="A18" s="164"/>
      <c r="B18" s="164"/>
      <c r="C18" s="164"/>
      <c r="D18" s="165"/>
      <c r="E18" s="164"/>
      <c r="F18" s="166"/>
      <c r="G18" s="167"/>
      <c r="H18" s="168"/>
      <c r="I18" s="161"/>
      <c r="J18" s="168"/>
      <c r="K18" s="160"/>
      <c r="L18" s="75"/>
      <c r="M18" s="74"/>
    </row>
    <row r="19" spans="1:13">
      <c r="A19" s="164"/>
      <c r="B19" s="164"/>
      <c r="C19" s="164"/>
      <c r="D19" s="165"/>
      <c r="E19" s="164"/>
      <c r="F19" s="166"/>
      <c r="G19" s="167"/>
      <c r="H19" s="168"/>
      <c r="I19" s="161"/>
      <c r="J19" s="168"/>
      <c r="K19" s="160"/>
      <c r="L19" s="75"/>
      <c r="M19" s="74"/>
    </row>
    <row r="20" spans="1:13">
      <c r="A20" s="164"/>
      <c r="B20" s="164"/>
      <c r="C20" s="164"/>
      <c r="D20" s="165"/>
      <c r="E20" s="164"/>
      <c r="F20" s="166"/>
      <c r="G20" s="167"/>
      <c r="H20" s="168"/>
      <c r="I20" s="161"/>
      <c r="J20" s="168"/>
      <c r="K20" s="160"/>
      <c r="L20" s="75"/>
      <c r="M20" s="74"/>
    </row>
    <row r="21" spans="1:13">
      <c r="A21" s="164"/>
      <c r="B21" s="164"/>
      <c r="C21" s="164"/>
      <c r="D21" s="165"/>
      <c r="E21" s="164"/>
      <c r="F21" s="166"/>
      <c r="G21" s="167"/>
      <c r="H21" s="168"/>
      <c r="I21" s="161"/>
      <c r="J21" s="168"/>
      <c r="K21" s="160"/>
      <c r="L21" s="75"/>
      <c r="M21" s="74"/>
    </row>
    <row r="22" spans="1:13">
      <c r="A22" s="164"/>
      <c r="B22" s="164"/>
      <c r="C22" s="164"/>
      <c r="D22" s="165"/>
      <c r="E22" s="164"/>
      <c r="F22" s="166"/>
      <c r="G22" s="167"/>
      <c r="H22" s="168"/>
      <c r="I22" s="161"/>
      <c r="J22" s="168"/>
      <c r="K22" s="160"/>
      <c r="L22" s="75"/>
      <c r="M22" s="74"/>
    </row>
    <row r="23" spans="1:13">
      <c r="A23" s="164"/>
      <c r="B23" s="164"/>
      <c r="C23" s="164"/>
      <c r="D23" s="165"/>
      <c r="E23" s="164"/>
      <c r="F23" s="166"/>
      <c r="G23" s="167"/>
      <c r="H23" s="168"/>
      <c r="I23" s="161"/>
      <c r="J23" s="168"/>
      <c r="K23" s="160"/>
      <c r="L23" s="75"/>
      <c r="M23" s="74"/>
    </row>
    <row r="24" spans="1:13">
      <c r="A24" s="164"/>
      <c r="B24" s="164"/>
      <c r="C24" s="164"/>
      <c r="D24" s="165"/>
      <c r="E24" s="164"/>
      <c r="F24" s="166"/>
      <c r="G24" s="167"/>
      <c r="H24" s="168"/>
      <c r="I24" s="161"/>
      <c r="J24" s="168"/>
      <c r="K24" s="160"/>
      <c r="L24" s="75"/>
      <c r="M24" s="74"/>
    </row>
    <row r="25" spans="1:13">
      <c r="A25" s="164"/>
      <c r="B25" s="164"/>
      <c r="C25" s="164"/>
      <c r="D25" s="165"/>
      <c r="E25" s="164"/>
      <c r="F25" s="166"/>
      <c r="G25" s="167"/>
      <c r="H25" s="168"/>
      <c r="I25" s="161"/>
      <c r="J25" s="168"/>
      <c r="K25" s="160"/>
      <c r="L25" s="75"/>
      <c r="M25" s="74"/>
    </row>
    <row r="26" spans="1:13">
      <c r="A26" s="164"/>
      <c r="B26" s="164"/>
      <c r="C26" s="164"/>
      <c r="D26" s="165"/>
      <c r="E26" s="164"/>
      <c r="F26" s="166"/>
      <c r="G26" s="167"/>
      <c r="H26" s="168"/>
      <c r="I26" s="161"/>
      <c r="J26" s="168"/>
      <c r="K26" s="160"/>
      <c r="L26" s="75"/>
      <c r="M26" s="74"/>
    </row>
    <row r="27" spans="1:13">
      <c r="A27" s="164"/>
      <c r="B27" s="164"/>
      <c r="C27" s="164"/>
      <c r="D27" s="165"/>
      <c r="E27" s="164"/>
      <c r="F27" s="166"/>
      <c r="G27" s="167"/>
      <c r="H27" s="168"/>
      <c r="I27" s="161"/>
      <c r="J27" s="168"/>
      <c r="K27" s="160"/>
      <c r="L27" s="75"/>
      <c r="M27" s="74"/>
    </row>
    <row r="28" spans="1:13">
      <c r="A28" s="164"/>
      <c r="B28" s="164"/>
      <c r="C28" s="164"/>
      <c r="D28" s="165"/>
      <c r="E28" s="164"/>
      <c r="F28" s="166"/>
      <c r="G28" s="167"/>
      <c r="H28" s="168"/>
      <c r="I28" s="161"/>
      <c r="J28" s="168"/>
      <c r="K28" s="160"/>
      <c r="L28" s="75"/>
      <c r="M28" s="74"/>
    </row>
    <row r="29" spans="1:13">
      <c r="A29" s="164"/>
      <c r="B29" s="164"/>
      <c r="C29" s="164"/>
      <c r="D29" s="165"/>
      <c r="E29" s="164"/>
      <c r="F29" s="166"/>
      <c r="G29" s="167"/>
      <c r="H29" s="168"/>
      <c r="I29" s="161"/>
      <c r="J29" s="168"/>
      <c r="K29" s="160"/>
      <c r="L29" s="75"/>
      <c r="M29" s="74"/>
    </row>
    <row r="30" spans="1:13">
      <c r="A30" s="164"/>
      <c r="B30" s="164"/>
      <c r="C30" s="164"/>
      <c r="D30" s="165"/>
      <c r="E30" s="164"/>
      <c r="F30" s="166"/>
      <c r="G30" s="167"/>
      <c r="H30" s="168"/>
      <c r="I30" s="161"/>
      <c r="J30" s="168"/>
      <c r="K30" s="160"/>
      <c r="L30" s="75"/>
      <c r="M30" s="74"/>
    </row>
    <row r="31" spans="1:13">
      <c r="A31" s="164"/>
      <c r="B31" s="164"/>
      <c r="C31" s="164"/>
      <c r="D31" s="165"/>
      <c r="E31" s="164"/>
      <c r="F31" s="166"/>
      <c r="G31" s="167"/>
      <c r="H31" s="168"/>
      <c r="I31" s="161"/>
      <c r="J31" s="168"/>
      <c r="K31" s="160"/>
      <c r="L31" s="75"/>
      <c r="M31" s="74"/>
    </row>
    <row r="32" spans="1:13">
      <c r="A32" s="164"/>
      <c r="B32" s="164"/>
      <c r="C32" s="164"/>
      <c r="D32" s="165"/>
      <c r="E32" s="164"/>
      <c r="F32" s="166"/>
      <c r="G32" s="167"/>
      <c r="H32" s="168"/>
      <c r="I32" s="161"/>
      <c r="J32" s="168"/>
      <c r="K32" s="160"/>
      <c r="L32" s="75"/>
      <c r="M32" s="74"/>
    </row>
    <row r="33" spans="1:13">
      <c r="A33" s="164"/>
      <c r="B33" s="164"/>
      <c r="C33" s="164"/>
      <c r="D33" s="165"/>
      <c r="E33" s="164"/>
      <c r="F33" s="166"/>
      <c r="G33" s="167"/>
      <c r="H33" s="168"/>
      <c r="I33" s="161"/>
      <c r="J33" s="168"/>
      <c r="K33" s="160"/>
      <c r="L33" s="75"/>
      <c r="M33" s="74"/>
    </row>
    <row r="34" spans="1:13">
      <c r="A34" s="164"/>
      <c r="B34" s="164"/>
      <c r="C34" s="164"/>
      <c r="D34" s="165"/>
      <c r="E34" s="164"/>
      <c r="F34" s="166"/>
      <c r="G34" s="167"/>
      <c r="H34" s="168"/>
      <c r="I34" s="161"/>
      <c r="J34" s="168"/>
      <c r="K34" s="160"/>
      <c r="L34" s="75"/>
      <c r="M34" s="74"/>
    </row>
    <row r="35" spans="1:13">
      <c r="A35" s="164"/>
      <c r="B35" s="164"/>
      <c r="C35" s="164"/>
      <c r="D35" s="165"/>
      <c r="E35" s="164"/>
      <c r="F35" s="166"/>
      <c r="G35" s="167"/>
      <c r="H35" s="168"/>
      <c r="I35" s="161"/>
      <c r="J35" s="168"/>
      <c r="K35" s="160"/>
      <c r="L35" s="75"/>
      <c r="M35" s="74"/>
    </row>
    <row r="36" spans="1:13">
      <c r="A36" s="164"/>
      <c r="B36" s="164"/>
      <c r="C36" s="164"/>
      <c r="D36" s="165"/>
      <c r="E36" s="164"/>
      <c r="F36" s="166"/>
      <c r="G36" s="167"/>
      <c r="H36" s="168"/>
      <c r="I36" s="161"/>
      <c r="J36" s="168"/>
      <c r="K36" s="160"/>
      <c r="L36" s="75"/>
      <c r="M36" s="74"/>
    </row>
    <row r="37" spans="1:13">
      <c r="A37" s="164"/>
      <c r="B37" s="164"/>
      <c r="C37" s="164"/>
      <c r="D37" s="165"/>
      <c r="E37" s="164"/>
      <c r="F37" s="166"/>
      <c r="G37" s="167"/>
      <c r="H37" s="168"/>
      <c r="I37" s="161"/>
      <c r="J37" s="168"/>
      <c r="K37" s="160"/>
      <c r="L37" s="75"/>
      <c r="M37" s="74"/>
    </row>
    <row r="38" spans="1:13">
      <c r="A38" s="164"/>
      <c r="B38" s="164"/>
      <c r="C38" s="164"/>
      <c r="D38" s="165"/>
      <c r="E38" s="164"/>
      <c r="F38" s="166"/>
      <c r="G38" s="167"/>
      <c r="H38" s="168"/>
      <c r="I38" s="161"/>
      <c r="J38" s="168"/>
      <c r="K38" s="160"/>
      <c r="L38" s="75"/>
      <c r="M38" s="74"/>
    </row>
    <row r="39" spans="1:13">
      <c r="A39" s="164"/>
      <c r="B39" s="164"/>
      <c r="C39" s="164"/>
      <c r="D39" s="165"/>
      <c r="E39" s="164"/>
      <c r="F39" s="166"/>
      <c r="G39" s="167"/>
      <c r="H39" s="168"/>
      <c r="I39" s="161"/>
      <c r="J39" s="168"/>
      <c r="K39" s="160"/>
      <c r="L39" s="75"/>
      <c r="M39" s="74"/>
    </row>
    <row r="40" spans="1:13">
      <c r="A40" s="164"/>
      <c r="B40" s="164"/>
      <c r="C40" s="164"/>
      <c r="D40" s="165"/>
      <c r="E40" s="164"/>
      <c r="F40" s="166"/>
      <c r="G40" s="167"/>
      <c r="H40" s="168"/>
      <c r="I40" s="161"/>
      <c r="J40" s="168"/>
      <c r="K40" s="160"/>
      <c r="L40" s="75"/>
      <c r="M40" s="74"/>
    </row>
    <row r="41" spans="1:13">
      <c r="A41" s="164"/>
      <c r="B41" s="164"/>
      <c r="C41" s="164"/>
      <c r="D41" s="165"/>
      <c r="E41" s="164"/>
      <c r="F41" s="166"/>
      <c r="G41" s="167"/>
      <c r="H41" s="168"/>
      <c r="I41" s="161"/>
      <c r="J41" s="168"/>
      <c r="K41" s="160"/>
      <c r="L41" s="75"/>
      <c r="M41" s="74"/>
    </row>
    <row r="42" spans="1:13">
      <c r="A42" s="164"/>
      <c r="B42" s="164"/>
      <c r="C42" s="164"/>
      <c r="D42" s="165"/>
      <c r="E42" s="164"/>
      <c r="F42" s="166"/>
      <c r="G42" s="167"/>
      <c r="H42" s="168"/>
      <c r="I42" s="161"/>
      <c r="J42" s="168"/>
      <c r="K42" s="160"/>
      <c r="L42" s="75"/>
      <c r="M42" s="74"/>
    </row>
    <row r="43" spans="1:13">
      <c r="A43" s="164"/>
      <c r="B43" s="164"/>
      <c r="C43" s="164"/>
      <c r="D43" s="165"/>
      <c r="E43" s="164"/>
      <c r="F43" s="166"/>
      <c r="G43" s="167"/>
      <c r="H43" s="168"/>
      <c r="I43" s="161"/>
      <c r="J43" s="168"/>
      <c r="K43" s="160"/>
      <c r="L43" s="75"/>
      <c r="M43" s="74"/>
    </row>
    <row r="44" spans="1:13">
      <c r="A44" s="164"/>
      <c r="B44" s="164"/>
      <c r="C44" s="164"/>
      <c r="D44" s="165"/>
      <c r="E44" s="164"/>
      <c r="F44" s="166"/>
      <c r="G44" s="167"/>
      <c r="H44" s="168"/>
      <c r="I44" s="161"/>
      <c r="J44" s="168"/>
      <c r="K44" s="160"/>
      <c r="L44" s="75"/>
      <c r="M44" s="74"/>
    </row>
    <row r="45" spans="1:13">
      <c r="A45" s="164"/>
      <c r="B45" s="164"/>
      <c r="C45" s="164"/>
      <c r="D45" s="165"/>
      <c r="E45" s="164"/>
      <c r="F45" s="166"/>
      <c r="G45" s="167"/>
      <c r="H45" s="168"/>
      <c r="I45" s="161"/>
      <c r="J45" s="168"/>
      <c r="K45" s="160"/>
      <c r="L45" s="75"/>
      <c r="M45" s="74"/>
    </row>
    <row r="46" spans="1:13">
      <c r="A46" s="164"/>
      <c r="B46" s="53"/>
      <c r="C46" s="164"/>
      <c r="D46" s="165"/>
      <c r="E46" s="164"/>
      <c r="F46" s="166"/>
      <c r="G46" s="167"/>
      <c r="H46" s="53"/>
      <c r="I46" s="53"/>
      <c r="J46" s="53"/>
      <c r="K46" s="177"/>
      <c r="L46" s="179"/>
      <c r="M46" s="179"/>
    </row>
    <row r="47" spans="1:13">
      <c r="A47" s="164"/>
      <c r="B47" s="53"/>
      <c r="C47" s="164"/>
      <c r="D47" s="165"/>
      <c r="E47" s="164"/>
      <c r="F47" s="166"/>
      <c r="G47" s="167"/>
      <c r="H47" s="53"/>
      <c r="I47" s="53"/>
      <c r="J47" s="53"/>
      <c r="K47" s="177"/>
      <c r="L47" s="179"/>
      <c r="M47" s="179"/>
    </row>
    <row r="48" spans="1:13">
      <c r="A48" s="164"/>
      <c r="B48" s="53"/>
      <c r="C48" s="164"/>
      <c r="D48" s="165"/>
      <c r="E48" s="164"/>
      <c r="F48" s="166"/>
      <c r="G48" s="167"/>
      <c r="H48" s="53"/>
      <c r="I48" s="53"/>
      <c r="J48" s="53"/>
      <c r="K48" s="177"/>
      <c r="L48" s="179"/>
      <c r="M48" s="179"/>
    </row>
    <row r="49" spans="1:13">
      <c r="A49" s="164"/>
      <c r="B49" s="53"/>
      <c r="C49" s="164"/>
      <c r="D49" s="165"/>
      <c r="E49" s="164"/>
      <c r="F49" s="166"/>
      <c r="G49" s="167"/>
      <c r="H49" s="53"/>
      <c r="I49" s="53"/>
      <c r="J49" s="53"/>
      <c r="K49" s="177"/>
      <c r="L49" s="179"/>
      <c r="M49" s="179"/>
    </row>
    <row r="50" spans="1:13">
      <c r="A50" s="164"/>
      <c r="B50" s="164"/>
      <c r="C50" s="164"/>
      <c r="D50" s="165"/>
      <c r="E50" s="164"/>
      <c r="F50" s="166"/>
      <c r="G50" s="167"/>
      <c r="H50" s="168"/>
      <c r="I50" s="161"/>
      <c r="J50" s="168"/>
      <c r="K50" s="160"/>
      <c r="L50" s="75"/>
      <c r="M50" s="74"/>
    </row>
    <row r="51" spans="1:13">
      <c r="A51" s="164"/>
      <c r="B51" s="164"/>
      <c r="C51" s="164"/>
      <c r="D51" s="165"/>
      <c r="E51" s="164"/>
      <c r="F51" s="166"/>
      <c r="G51" s="167"/>
      <c r="H51" s="168"/>
      <c r="I51" s="161"/>
      <c r="J51" s="168"/>
      <c r="K51" s="160"/>
      <c r="L51" s="75"/>
      <c r="M51" s="74"/>
    </row>
    <row r="52" spans="1:13">
      <c r="A52" s="164"/>
      <c r="B52" s="164"/>
      <c r="C52" s="164"/>
      <c r="D52" s="165"/>
      <c r="E52" s="164"/>
      <c r="F52" s="166"/>
      <c r="G52" s="167"/>
      <c r="H52" s="168"/>
      <c r="I52" s="161"/>
      <c r="J52" s="168"/>
      <c r="K52" s="160"/>
      <c r="L52" s="75"/>
      <c r="M52" s="74"/>
    </row>
    <row r="53" spans="1:13">
      <c r="A53" s="164"/>
      <c r="B53" s="164"/>
      <c r="C53" s="164"/>
      <c r="D53" s="165"/>
      <c r="E53" s="164"/>
      <c r="F53" s="166"/>
      <c r="G53" s="167"/>
      <c r="H53" s="168"/>
      <c r="I53" s="161"/>
      <c r="J53" s="168"/>
      <c r="K53" s="160"/>
      <c r="L53" s="75"/>
      <c r="M53" s="74"/>
    </row>
    <row r="54" spans="1:13">
      <c r="A54" s="164"/>
      <c r="B54" s="164"/>
      <c r="C54" s="164"/>
      <c r="D54" s="165"/>
      <c r="E54" s="164"/>
      <c r="F54" s="166"/>
      <c r="G54" s="167"/>
      <c r="H54" s="168"/>
      <c r="I54" s="161"/>
      <c r="J54" s="168"/>
      <c r="K54" s="160"/>
      <c r="L54" s="75"/>
      <c r="M54" s="74"/>
    </row>
    <row r="55" spans="1:13">
      <c r="A55" s="164"/>
      <c r="B55" s="164"/>
      <c r="C55" s="164"/>
      <c r="D55" s="165"/>
      <c r="E55" s="164"/>
      <c r="F55" s="166"/>
      <c r="G55" s="167"/>
      <c r="H55" s="168"/>
      <c r="I55" s="161"/>
      <c r="J55" s="168"/>
      <c r="K55" s="160"/>
      <c r="L55" s="75"/>
      <c r="M55" s="74"/>
    </row>
    <row r="56" spans="1:13">
      <c r="A56" s="164"/>
      <c r="B56" s="164"/>
      <c r="C56" s="164"/>
      <c r="D56" s="165"/>
      <c r="E56" s="164"/>
      <c r="F56" s="166"/>
      <c r="G56" s="167"/>
      <c r="H56" s="168"/>
      <c r="I56" s="161"/>
      <c r="J56" s="168"/>
      <c r="K56" s="160"/>
      <c r="L56" s="75"/>
      <c r="M56" s="74"/>
    </row>
    <row r="57" spans="1:13">
      <c r="A57" s="164"/>
      <c r="B57" s="164"/>
      <c r="C57" s="164"/>
      <c r="D57" s="165"/>
      <c r="E57" s="164"/>
      <c r="F57" s="166"/>
      <c r="G57" s="167"/>
      <c r="H57" s="168"/>
      <c r="I57" s="161"/>
      <c r="J57" s="168"/>
      <c r="K57" s="160"/>
      <c r="L57" s="75"/>
      <c r="M57" s="74"/>
    </row>
    <row r="58" spans="1:13">
      <c r="A58" s="164"/>
      <c r="B58" s="164"/>
      <c r="C58" s="164"/>
      <c r="D58" s="165"/>
      <c r="E58" s="164"/>
      <c r="F58" s="166"/>
      <c r="G58" s="167"/>
      <c r="H58" s="168"/>
      <c r="I58" s="161"/>
      <c r="J58" s="168"/>
      <c r="K58" s="160"/>
      <c r="L58" s="75"/>
      <c r="M58" s="74"/>
    </row>
    <row r="59" spans="1:13">
      <c r="A59" s="164"/>
      <c r="B59" s="164"/>
      <c r="C59" s="164"/>
      <c r="D59" s="165"/>
      <c r="E59" s="164"/>
      <c r="F59" s="166"/>
      <c r="G59" s="167"/>
      <c r="H59" s="168"/>
      <c r="I59" s="161"/>
      <c r="J59" s="168"/>
      <c r="K59" s="160"/>
      <c r="L59" s="75"/>
      <c r="M59" s="74"/>
    </row>
    <row r="60" spans="1:13">
      <c r="A60" s="164"/>
      <c r="B60" s="164"/>
      <c r="C60" s="164"/>
      <c r="D60" s="165"/>
      <c r="E60" s="164"/>
      <c r="F60" s="166"/>
      <c r="G60" s="167"/>
      <c r="H60" s="168"/>
      <c r="I60" s="161"/>
      <c r="J60" s="168"/>
      <c r="K60" s="160"/>
      <c r="L60" s="75"/>
      <c r="M60" s="74"/>
    </row>
    <row r="61" spans="1:13">
      <c r="A61" s="164"/>
      <c r="B61" s="164"/>
      <c r="C61" s="164"/>
      <c r="D61" s="165"/>
      <c r="E61" s="164"/>
      <c r="F61" s="166"/>
      <c r="G61" s="167"/>
      <c r="H61" s="168"/>
      <c r="I61" s="161"/>
      <c r="J61" s="168"/>
      <c r="K61" s="160"/>
      <c r="L61" s="75"/>
      <c r="M61" s="74"/>
    </row>
    <row r="62" spans="1:13">
      <c r="A62" s="164"/>
      <c r="B62" s="164"/>
      <c r="C62" s="164"/>
      <c r="D62" s="165"/>
      <c r="E62" s="164"/>
      <c r="F62" s="166"/>
      <c r="G62" s="167"/>
      <c r="H62" s="168"/>
      <c r="I62" s="161"/>
      <c r="J62" s="168"/>
      <c r="K62" s="160"/>
      <c r="L62" s="75"/>
      <c r="M62" s="74"/>
    </row>
    <row r="63" spans="1:13">
      <c r="A63" s="164"/>
      <c r="B63" s="164"/>
      <c r="C63" s="164"/>
      <c r="D63" s="165"/>
      <c r="E63" s="164"/>
      <c r="F63" s="166"/>
      <c r="G63" s="167"/>
      <c r="H63" s="168"/>
      <c r="I63" s="161"/>
      <c r="J63" s="168"/>
      <c r="K63" s="160"/>
      <c r="L63" s="75"/>
      <c r="M63" s="74"/>
    </row>
    <row r="64" spans="1:13">
      <c r="A64" s="164"/>
      <c r="B64" s="164"/>
      <c r="C64" s="164"/>
      <c r="D64" s="165"/>
      <c r="E64" s="164"/>
      <c r="F64" s="166"/>
      <c r="G64" s="167"/>
      <c r="H64" s="168"/>
      <c r="I64" s="161"/>
      <c r="J64" s="168"/>
      <c r="K64" s="160"/>
      <c r="L64" s="75"/>
      <c r="M64" s="74"/>
    </row>
    <row r="65" spans="1:13">
      <c r="A65" s="164"/>
      <c r="B65" s="164"/>
      <c r="C65" s="164"/>
      <c r="D65" s="165"/>
      <c r="E65" s="164"/>
      <c r="F65" s="166"/>
      <c r="G65" s="167"/>
      <c r="H65" s="168"/>
      <c r="I65" s="161"/>
      <c r="J65" s="168"/>
      <c r="K65" s="160"/>
      <c r="L65" s="75"/>
      <c r="M65" s="74"/>
    </row>
    <row r="66" spans="1:13">
      <c r="A66" s="164"/>
      <c r="B66" s="164"/>
      <c r="C66" s="164"/>
      <c r="D66" s="165"/>
      <c r="E66" s="164"/>
      <c r="F66" s="166"/>
      <c r="G66" s="167"/>
      <c r="H66" s="168"/>
      <c r="I66" s="161"/>
      <c r="J66" s="168"/>
      <c r="K66" s="160"/>
      <c r="L66" s="75"/>
      <c r="M66" s="74"/>
    </row>
    <row r="67" spans="1:13">
      <c r="A67" s="164"/>
      <c r="B67" s="164"/>
      <c r="C67" s="164"/>
      <c r="D67" s="165"/>
      <c r="E67" s="164"/>
      <c r="F67" s="166"/>
      <c r="G67" s="167"/>
      <c r="H67" s="168"/>
      <c r="I67" s="161"/>
      <c r="J67" s="168"/>
      <c r="K67" s="160"/>
      <c r="L67" s="75"/>
      <c r="M67" s="74"/>
    </row>
    <row r="68" spans="1:13">
      <c r="A68" s="164"/>
      <c r="B68" s="164"/>
      <c r="C68" s="164"/>
      <c r="D68" s="165"/>
      <c r="E68" s="164"/>
      <c r="F68" s="166"/>
      <c r="G68" s="167"/>
      <c r="H68" s="168"/>
      <c r="I68" s="161"/>
      <c r="J68" s="168"/>
      <c r="K68" s="160"/>
      <c r="L68" s="75"/>
      <c r="M68" s="74"/>
    </row>
    <row r="69" spans="1:13">
      <c r="A69" s="164"/>
      <c r="B69" s="164"/>
      <c r="C69" s="164"/>
      <c r="D69" s="165"/>
      <c r="E69" s="164"/>
      <c r="F69" s="166"/>
      <c r="G69" s="167"/>
      <c r="H69" s="168"/>
      <c r="I69" s="161"/>
      <c r="J69" s="168"/>
      <c r="K69" s="160"/>
      <c r="L69" s="75"/>
      <c r="M69" s="74"/>
    </row>
    <row r="70" spans="1:13">
      <c r="A70" s="164"/>
      <c r="B70" s="164"/>
      <c r="C70" s="164"/>
      <c r="D70" s="165"/>
      <c r="E70" s="164"/>
      <c r="F70" s="166"/>
      <c r="G70" s="167"/>
      <c r="H70" s="168"/>
      <c r="I70" s="161"/>
      <c r="J70" s="168"/>
      <c r="K70" s="160"/>
      <c r="L70" s="75"/>
      <c r="M70" s="74"/>
    </row>
    <row r="71" spans="1:13">
      <c r="A71" s="164"/>
      <c r="B71" s="164"/>
      <c r="C71" s="164"/>
      <c r="D71" s="165"/>
      <c r="E71" s="164"/>
      <c r="F71" s="166"/>
      <c r="G71" s="167"/>
      <c r="H71" s="168"/>
      <c r="I71" s="161"/>
      <c r="J71" s="168"/>
      <c r="K71" s="160"/>
      <c r="L71" s="75"/>
      <c r="M71" s="74"/>
    </row>
    <row r="72" spans="1:13">
      <c r="A72" s="164"/>
      <c r="B72" s="164"/>
      <c r="C72" s="164"/>
      <c r="D72" s="165"/>
      <c r="E72" s="164"/>
      <c r="F72" s="166"/>
      <c r="G72" s="167"/>
      <c r="H72" s="168"/>
      <c r="I72" s="161"/>
      <c r="J72" s="168"/>
      <c r="K72" s="160"/>
      <c r="L72" s="75"/>
      <c r="M72" s="74"/>
    </row>
    <row r="73" spans="1:13">
      <c r="A73" s="164"/>
      <c r="B73" s="164"/>
      <c r="C73" s="164"/>
      <c r="D73" s="165"/>
      <c r="E73" s="164"/>
      <c r="F73" s="166"/>
      <c r="G73" s="167"/>
      <c r="H73" s="168"/>
      <c r="I73" s="161"/>
      <c r="J73" s="168"/>
      <c r="K73" s="160"/>
      <c r="L73" s="75"/>
      <c r="M73" s="74"/>
    </row>
    <row r="74" spans="1:13">
      <c r="A74" s="164"/>
      <c r="B74" s="164"/>
      <c r="C74" s="164"/>
      <c r="D74" s="165"/>
      <c r="E74" s="164"/>
      <c r="F74" s="166"/>
      <c r="G74" s="167"/>
      <c r="H74" s="168"/>
      <c r="I74" s="161"/>
      <c r="J74" s="168"/>
      <c r="K74" s="160"/>
      <c r="L74" s="75"/>
      <c r="M74" s="74"/>
    </row>
    <row r="75" spans="1:13">
      <c r="A75" s="164"/>
      <c r="B75" s="164"/>
      <c r="C75" s="164"/>
      <c r="D75" s="165"/>
      <c r="E75" s="164"/>
      <c r="F75" s="166"/>
      <c r="G75" s="167"/>
      <c r="H75" s="168"/>
      <c r="I75" s="161"/>
      <c r="J75" s="168"/>
      <c r="K75" s="160"/>
      <c r="L75" s="75"/>
      <c r="M75" s="74"/>
    </row>
    <row r="76" spans="1:13">
      <c r="A76" s="164"/>
      <c r="B76" s="164"/>
      <c r="C76" s="164"/>
      <c r="D76" s="165"/>
      <c r="E76" s="164"/>
      <c r="F76" s="166"/>
      <c r="G76" s="167"/>
      <c r="H76" s="168"/>
      <c r="I76" s="161"/>
      <c r="J76" s="168"/>
      <c r="K76" s="160"/>
      <c r="L76" s="75"/>
      <c r="M76" s="74"/>
    </row>
    <row r="77" spans="1:13">
      <c r="A77" s="164"/>
      <c r="B77" s="164"/>
      <c r="C77" s="164"/>
      <c r="D77" s="165"/>
      <c r="E77" s="164"/>
      <c r="F77" s="166"/>
      <c r="G77" s="167"/>
      <c r="H77" s="168"/>
      <c r="I77" s="161"/>
      <c r="J77" s="168"/>
      <c r="K77" s="160"/>
      <c r="L77" s="75"/>
      <c r="M77" s="74"/>
    </row>
    <row r="78" spans="1:13">
      <c r="A78" s="164"/>
      <c r="B78" s="164"/>
      <c r="C78" s="164"/>
      <c r="D78" s="165"/>
      <c r="E78" s="164"/>
      <c r="F78" s="166"/>
      <c r="G78" s="167"/>
      <c r="H78" s="168"/>
      <c r="I78" s="161"/>
      <c r="J78" s="168"/>
      <c r="K78" s="160"/>
      <c r="L78" s="75"/>
      <c r="M78" s="74"/>
    </row>
    <row r="79" spans="1:13">
      <c r="A79" s="164"/>
      <c r="B79" s="164"/>
      <c r="C79" s="164"/>
      <c r="D79" s="165"/>
      <c r="E79" s="164"/>
      <c r="F79" s="166"/>
      <c r="G79" s="167"/>
      <c r="H79" s="168"/>
      <c r="I79" s="161"/>
      <c r="J79" s="168"/>
      <c r="K79" s="160"/>
      <c r="L79" s="75"/>
      <c r="M79" s="74"/>
    </row>
    <row r="80" spans="1:13">
      <c r="A80" s="164"/>
      <c r="B80" s="164"/>
      <c r="C80" s="164"/>
      <c r="D80" s="165"/>
      <c r="E80" s="164"/>
      <c r="F80" s="166"/>
      <c r="G80" s="167"/>
      <c r="H80" s="168"/>
      <c r="I80" s="161"/>
      <c r="J80" s="168"/>
      <c r="K80" s="160"/>
      <c r="L80" s="75"/>
      <c r="M80" s="74"/>
    </row>
    <row r="81" spans="1:13">
      <c r="A81" s="164"/>
      <c r="B81" s="164"/>
      <c r="C81" s="164"/>
      <c r="D81" s="165"/>
      <c r="E81" s="164"/>
      <c r="F81" s="166"/>
      <c r="G81" s="167"/>
      <c r="H81" s="168"/>
      <c r="I81" s="161"/>
      <c r="J81" s="168"/>
      <c r="K81" s="160"/>
      <c r="L81" s="75"/>
      <c r="M81" s="74"/>
    </row>
    <row r="82" spans="1:13">
      <c r="A82" s="164"/>
      <c r="B82" s="164"/>
      <c r="C82" s="164"/>
      <c r="D82" s="165"/>
      <c r="E82" s="164"/>
      <c r="F82" s="166"/>
      <c r="G82" s="167"/>
      <c r="H82" s="168"/>
      <c r="I82" s="161"/>
      <c r="J82" s="168"/>
      <c r="K82" s="160"/>
      <c r="L82" s="75"/>
      <c r="M82" s="74"/>
    </row>
    <row r="83" spans="1:13">
      <c r="A83" s="164"/>
      <c r="B83" s="164"/>
      <c r="C83" s="164"/>
      <c r="D83" s="165"/>
      <c r="E83" s="164"/>
      <c r="F83" s="166"/>
      <c r="G83" s="167"/>
      <c r="H83" s="168"/>
      <c r="I83" s="161"/>
      <c r="J83" s="168"/>
      <c r="K83" s="160"/>
      <c r="L83" s="75"/>
      <c r="M83" s="74"/>
    </row>
    <row r="84" spans="1:13">
      <c r="A84" s="164"/>
      <c r="B84" s="164"/>
      <c r="C84" s="164"/>
      <c r="D84" s="165"/>
      <c r="E84" s="164"/>
      <c r="F84" s="166"/>
      <c r="G84" s="167"/>
      <c r="H84" s="168"/>
      <c r="I84" s="161"/>
      <c r="J84" s="168"/>
      <c r="K84" s="160"/>
      <c r="L84" s="75"/>
      <c r="M84" s="74"/>
    </row>
    <row r="85" spans="1:13">
      <c r="A85" s="164"/>
      <c r="B85" s="164"/>
      <c r="C85" s="164"/>
      <c r="D85" s="165"/>
      <c r="E85" s="164"/>
      <c r="F85" s="166"/>
      <c r="G85" s="167"/>
      <c r="H85" s="168"/>
      <c r="I85" s="161"/>
      <c r="J85" s="168"/>
      <c r="K85" s="160"/>
      <c r="L85" s="75"/>
      <c r="M85" s="74"/>
    </row>
    <row r="86" spans="1:13">
      <c r="A86" s="164"/>
      <c r="B86" s="164"/>
      <c r="C86" s="164"/>
      <c r="D86" s="165"/>
      <c r="E86" s="164"/>
      <c r="F86" s="166"/>
      <c r="G86" s="167"/>
      <c r="H86" s="168"/>
      <c r="I86" s="161"/>
      <c r="J86" s="168"/>
      <c r="K86" s="160"/>
      <c r="L86" s="75"/>
      <c r="M86" s="74"/>
    </row>
    <row r="87" spans="1:13">
      <c r="A87" s="164"/>
      <c r="B87" s="164"/>
      <c r="C87" s="164"/>
      <c r="D87" s="165"/>
      <c r="E87" s="164"/>
      <c r="F87" s="166"/>
      <c r="G87" s="167"/>
      <c r="H87" s="168"/>
      <c r="I87" s="161"/>
      <c r="J87" s="168"/>
      <c r="K87" s="160"/>
      <c r="L87" s="75"/>
      <c r="M87" s="74"/>
    </row>
    <row r="88" spans="1:13">
      <c r="A88" s="164"/>
      <c r="B88" s="164"/>
      <c r="C88" s="164"/>
      <c r="D88" s="165"/>
      <c r="E88" s="164"/>
      <c r="F88" s="166"/>
      <c r="G88" s="167"/>
      <c r="H88" s="168"/>
      <c r="I88" s="161"/>
      <c r="J88" s="168"/>
      <c r="K88" s="160"/>
      <c r="L88" s="75"/>
      <c r="M88" s="74"/>
    </row>
    <row r="89" spans="1:13">
      <c r="A89" s="164"/>
      <c r="B89" s="164"/>
      <c r="C89" s="164"/>
      <c r="D89" s="165"/>
      <c r="E89" s="164"/>
      <c r="F89" s="166"/>
      <c r="G89" s="167"/>
      <c r="H89" s="168"/>
      <c r="I89" s="161"/>
      <c r="J89" s="168"/>
      <c r="K89" s="160"/>
      <c r="L89" s="75"/>
      <c r="M89" s="74"/>
    </row>
    <row r="90" spans="1:13">
      <c r="A90" s="164"/>
      <c r="B90" s="164"/>
      <c r="C90" s="164"/>
      <c r="D90" s="165"/>
      <c r="E90" s="164"/>
      <c r="F90" s="166"/>
      <c r="G90" s="167"/>
      <c r="H90" s="168"/>
      <c r="I90" s="161"/>
      <c r="J90" s="168"/>
      <c r="K90" s="160"/>
      <c r="L90" s="75"/>
      <c r="M90" s="74"/>
    </row>
    <row r="91" spans="1:13">
      <c r="A91" s="164"/>
      <c r="B91" s="164"/>
      <c r="C91" s="164"/>
      <c r="D91" s="165"/>
      <c r="E91" s="164"/>
      <c r="F91" s="166"/>
      <c r="G91" s="167"/>
      <c r="H91" s="168"/>
      <c r="I91" s="161"/>
      <c r="J91" s="168"/>
      <c r="K91" s="160"/>
      <c r="L91" s="75"/>
      <c r="M91" s="74"/>
    </row>
    <row r="92" spans="1:13">
      <c r="A92" s="164"/>
      <c r="B92" s="164"/>
      <c r="C92" s="164"/>
      <c r="D92" s="165"/>
      <c r="E92" s="164"/>
      <c r="F92" s="166"/>
      <c r="G92" s="167"/>
      <c r="H92" s="168"/>
      <c r="I92" s="161"/>
      <c r="J92" s="168"/>
      <c r="K92" s="160"/>
      <c r="L92" s="75"/>
      <c r="M92" s="74"/>
    </row>
    <row r="93" spans="1:13">
      <c r="A93" s="164"/>
      <c r="B93" s="164"/>
      <c r="C93" s="164"/>
      <c r="D93" s="165"/>
      <c r="E93" s="164"/>
      <c r="F93" s="166"/>
      <c r="G93" s="167"/>
      <c r="H93" s="168"/>
      <c r="I93" s="161"/>
      <c r="J93" s="168"/>
      <c r="K93" s="160"/>
      <c r="L93" s="75"/>
      <c r="M93" s="74"/>
    </row>
    <row r="94" spans="1:13">
      <c r="A94" s="164"/>
      <c r="B94" s="164"/>
      <c r="C94" s="164"/>
      <c r="D94" s="165"/>
      <c r="E94" s="164"/>
      <c r="F94" s="166"/>
      <c r="G94" s="167"/>
      <c r="H94" s="168"/>
      <c r="I94" s="161"/>
      <c r="J94" s="168"/>
      <c r="K94" s="160"/>
      <c r="L94" s="75"/>
      <c r="M94" s="74"/>
    </row>
    <row r="95" spans="1:13">
      <c r="A95" s="164"/>
      <c r="B95" s="164"/>
      <c r="C95" s="164"/>
      <c r="D95" s="165"/>
      <c r="E95" s="164"/>
      <c r="F95" s="166"/>
      <c r="G95" s="167"/>
      <c r="H95" s="168"/>
      <c r="I95" s="161"/>
      <c r="J95" s="168"/>
      <c r="K95" s="160"/>
      <c r="L95" s="75"/>
      <c r="M95" s="74"/>
    </row>
    <row r="96" spans="1:13">
      <c r="A96" s="164"/>
      <c r="B96" s="164"/>
      <c r="C96" s="164"/>
      <c r="D96" s="165"/>
      <c r="E96" s="164"/>
      <c r="F96" s="166"/>
      <c r="G96" s="167"/>
      <c r="H96" s="168"/>
      <c r="I96" s="161"/>
      <c r="J96" s="168"/>
      <c r="K96" s="160"/>
      <c r="L96" s="75"/>
      <c r="M96" s="74"/>
    </row>
    <row r="97" spans="1:13">
      <c r="A97" s="164"/>
      <c r="B97" s="164"/>
      <c r="C97" s="164"/>
      <c r="D97" s="165"/>
      <c r="E97" s="164"/>
      <c r="F97" s="166"/>
      <c r="G97" s="167"/>
      <c r="H97" s="168"/>
      <c r="I97" s="161"/>
      <c r="J97" s="168"/>
      <c r="K97" s="160"/>
      <c r="L97" s="75"/>
      <c r="M97" s="74"/>
    </row>
    <row r="98" spans="1:13">
      <c r="A98" s="164"/>
      <c r="B98" s="164"/>
      <c r="C98" s="164"/>
      <c r="D98" s="165"/>
      <c r="E98" s="164"/>
      <c r="F98" s="166"/>
      <c r="G98" s="167"/>
      <c r="H98" s="168"/>
      <c r="I98" s="161"/>
      <c r="J98" s="168"/>
      <c r="K98" s="160"/>
      <c r="L98" s="75"/>
      <c r="M98" s="74"/>
    </row>
    <row r="99" spans="1:13">
      <c r="A99" s="164"/>
      <c r="B99" s="164"/>
      <c r="C99" s="164"/>
      <c r="D99" s="165"/>
      <c r="E99" s="164"/>
      <c r="F99" s="166"/>
      <c r="G99" s="167"/>
      <c r="H99" s="168"/>
      <c r="I99" s="161"/>
      <c r="J99" s="168"/>
      <c r="K99" s="160"/>
      <c r="L99" s="75"/>
      <c r="M99" s="74"/>
    </row>
    <row r="100" spans="1:13">
      <c r="A100" s="164"/>
      <c r="B100" s="164"/>
      <c r="C100" s="164"/>
      <c r="D100" s="165"/>
      <c r="E100" s="164"/>
      <c r="F100" s="166"/>
      <c r="G100" s="167"/>
      <c r="H100" s="168"/>
      <c r="I100" s="161"/>
      <c r="J100" s="168"/>
      <c r="K100" s="160"/>
      <c r="L100" s="75"/>
      <c r="M100" s="74"/>
    </row>
    <row r="101" spans="1:13">
      <c r="A101" s="164"/>
      <c r="B101" s="164"/>
      <c r="C101" s="164"/>
      <c r="D101" s="165"/>
      <c r="E101" s="164"/>
      <c r="F101" s="166"/>
      <c r="G101" s="164"/>
      <c r="H101" s="168"/>
      <c r="I101" s="161"/>
      <c r="J101" s="168"/>
      <c r="K101" s="160"/>
      <c r="L101" s="75"/>
      <c r="M101" s="74"/>
    </row>
    <row r="102" spans="1:13">
      <c r="A102" s="164"/>
      <c r="B102" s="164"/>
      <c r="C102" s="164"/>
      <c r="D102" s="165"/>
      <c r="E102" s="164"/>
      <c r="F102" s="166"/>
      <c r="G102" s="164"/>
      <c r="H102" s="168"/>
      <c r="I102" s="161"/>
      <c r="J102" s="168"/>
      <c r="K102" s="178"/>
      <c r="L102" s="176"/>
      <c r="M102" s="178"/>
    </row>
    <row r="103" spans="1:13">
      <c r="A103" s="164"/>
      <c r="B103" s="164"/>
      <c r="C103" s="164"/>
      <c r="D103" s="165"/>
      <c r="E103" s="164"/>
      <c r="F103" s="166"/>
      <c r="G103" s="164"/>
      <c r="H103" s="168"/>
      <c r="I103" s="161"/>
      <c r="J103" s="168"/>
      <c r="K103" s="178"/>
      <c r="L103" s="176"/>
      <c r="M103" s="178"/>
    </row>
    <row r="104" spans="1:13">
      <c r="A104" s="181"/>
      <c r="B104" s="181"/>
      <c r="C104" s="164"/>
      <c r="D104" s="165"/>
      <c r="E104" s="164"/>
      <c r="F104" s="166"/>
      <c r="G104" s="164"/>
      <c r="H104" s="168"/>
    </row>
  </sheetData>
  <autoFilter ref="A1:G103" xr:uid="{C9314E71-04CF-4C0A-968F-65071696E986}"/>
  <conditionalFormatting sqref="A26">
    <cfRule type="duplicateValues" dxfId="3" priority="4"/>
  </conditionalFormatting>
  <conditionalFormatting sqref="A35">
    <cfRule type="duplicateValues" dxfId="2" priority="3"/>
  </conditionalFormatting>
  <conditionalFormatting sqref="A55">
    <cfRule type="duplicateValues" dxfId="1" priority="2"/>
  </conditionalFormatting>
  <conditionalFormatting sqref="A56">
    <cfRule type="duplicateValues" dxfId="0" priority="1"/>
  </conditionalFormatting>
  <dataValidations count="1">
    <dataValidation type="list" allowBlank="1" showInputMessage="1" showErrorMessage="1" sqref="E69 E62:E66 E73 E60 E57:E58 E31 E26 E38 E33:E36 E24 E40 E42:E49 E51:E55" xr:uid="{1D7E2A23-4553-4A5D-ADAF-D1BC9BBEFB37}">
      <formula1>$O:$O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0BAB-1B37-46A7-BC54-CF9E97EF519E}">
  <sheetPr>
    <tabColor rgb="FF00B050"/>
  </sheetPr>
  <dimension ref="A1:R20"/>
  <sheetViews>
    <sheetView tabSelected="1" workbookViewId="0">
      <selection activeCell="L3" sqref="L3"/>
    </sheetView>
  </sheetViews>
  <sheetFormatPr defaultColWidth="8.85546875" defaultRowHeight="15"/>
  <cols>
    <col min="1" max="1" width="3" bestFit="1" customWidth="1"/>
    <col min="2" max="2" width="22.7109375" style="182" customWidth="1"/>
    <col min="3" max="3" width="10.7109375" bestFit="1" customWidth="1"/>
    <col min="4" max="4" width="16.5703125" customWidth="1"/>
    <col min="5" max="5" width="16.85546875" customWidth="1"/>
    <col min="6" max="6" width="10.42578125" bestFit="1" customWidth="1"/>
    <col min="7" max="7" width="14" bestFit="1" customWidth="1"/>
    <col min="8" max="8" width="10.140625" bestFit="1" customWidth="1"/>
    <col min="9" max="9" width="10.42578125" bestFit="1" customWidth="1"/>
    <col min="10" max="10" width="9.140625" bestFit="1" customWidth="1"/>
    <col min="11" max="11" width="11.85546875" bestFit="1" customWidth="1"/>
    <col min="12" max="12" width="11.85546875" customWidth="1"/>
    <col min="13" max="13" width="3.7109375" customWidth="1"/>
    <col min="14" max="14" width="12.28515625" bestFit="1" customWidth="1"/>
    <col min="15" max="15" width="11.42578125" bestFit="1" customWidth="1"/>
  </cols>
  <sheetData>
    <row r="1" spans="1:18" ht="19.5">
      <c r="A1" s="200" t="s">
        <v>523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N1" s="202" t="s">
        <v>796</v>
      </c>
      <c r="O1" s="202"/>
    </row>
    <row r="2" spans="1:18" ht="40.5">
      <c r="A2" s="1" t="s">
        <v>415</v>
      </c>
      <c r="B2" s="1" t="s">
        <v>416</v>
      </c>
      <c r="C2" s="1" t="s">
        <v>795</v>
      </c>
      <c r="D2" s="1" t="s">
        <v>794</v>
      </c>
      <c r="E2" s="1" t="s">
        <v>766</v>
      </c>
      <c r="F2" s="1" t="s">
        <v>752</v>
      </c>
      <c r="G2" s="1" t="s">
        <v>524</v>
      </c>
      <c r="H2" s="1" t="s">
        <v>388</v>
      </c>
      <c r="I2" s="1" t="s">
        <v>525</v>
      </c>
      <c r="J2" s="1" t="s">
        <v>526</v>
      </c>
      <c r="K2" s="1" t="s">
        <v>753</v>
      </c>
      <c r="L2" s="1" t="s">
        <v>622</v>
      </c>
      <c r="M2" s="1"/>
      <c r="N2" s="1" t="s">
        <v>763</v>
      </c>
      <c r="O2" s="1" t="s">
        <v>793</v>
      </c>
      <c r="Q2" s="183"/>
      <c r="R2" s="183"/>
    </row>
    <row r="3" spans="1:18">
      <c r="A3" s="4">
        <v>1</v>
      </c>
      <c r="B3" s="3" t="s">
        <v>11</v>
      </c>
      <c r="C3" s="192" t="s">
        <v>539</v>
      </c>
      <c r="D3" s="175">
        <f t="shared" ref="D3:D14" ca="1" si="0">IF(F3&gt;TODAY(),0%,NETWORKDAYS(F3,TODAY())*R3%)</f>
        <v>0.33333333333333337</v>
      </c>
      <c r="E3" s="175">
        <v>0.08</v>
      </c>
      <c r="F3" s="170">
        <v>46307</v>
      </c>
      <c r="G3" s="4" t="s">
        <v>57</v>
      </c>
      <c r="H3" s="19">
        <v>46323</v>
      </c>
      <c r="I3" s="19">
        <v>46314</v>
      </c>
      <c r="J3" s="19">
        <v>46330</v>
      </c>
      <c r="K3" s="19">
        <v>46337</v>
      </c>
      <c r="L3" s="19" t="s">
        <v>681</v>
      </c>
      <c r="M3" s="19"/>
      <c r="N3" s="4"/>
      <c r="O3" s="4"/>
      <c r="Q3" s="183">
        <f t="shared" ref="Q3:Q14" si="1">NETWORKDAYS(F3,H3-1)</f>
        <v>12</v>
      </c>
      <c r="R3" s="183">
        <f t="shared" ref="R3:R14" si="2">100/Q3</f>
        <v>8.3333333333333339</v>
      </c>
    </row>
    <row r="4" spans="1:18">
      <c r="A4" s="4">
        <v>2</v>
      </c>
      <c r="B4" s="3" t="s">
        <v>14</v>
      </c>
      <c r="C4" s="192"/>
      <c r="D4" s="175">
        <f t="shared" ca="1" si="0"/>
        <v>0.33333333333333337</v>
      </c>
      <c r="E4" s="175">
        <v>0.08</v>
      </c>
      <c r="F4" s="170">
        <v>46307</v>
      </c>
      <c r="G4" s="4" t="s">
        <v>57</v>
      </c>
      <c r="H4" s="19">
        <v>46323</v>
      </c>
      <c r="I4" s="19">
        <v>46314</v>
      </c>
      <c r="J4" s="19">
        <v>46330</v>
      </c>
      <c r="K4" s="19">
        <v>46337</v>
      </c>
      <c r="L4" s="19" t="s">
        <v>681</v>
      </c>
      <c r="M4" s="19"/>
      <c r="N4" s="4"/>
      <c r="O4" s="4"/>
      <c r="Q4" s="183">
        <f t="shared" si="1"/>
        <v>12</v>
      </c>
      <c r="R4" s="183">
        <f t="shared" si="2"/>
        <v>8.3333333333333339</v>
      </c>
    </row>
    <row r="5" spans="1:18">
      <c r="A5" s="4">
        <v>3</v>
      </c>
      <c r="B5" s="3" t="s">
        <v>16</v>
      </c>
      <c r="C5" s="192"/>
      <c r="D5" s="175">
        <f t="shared" ca="1" si="0"/>
        <v>0.2</v>
      </c>
      <c r="E5" s="175" t="s">
        <v>533</v>
      </c>
      <c r="F5" s="170">
        <v>46309</v>
      </c>
      <c r="G5" s="4" t="s">
        <v>57</v>
      </c>
      <c r="H5" s="19">
        <v>46323</v>
      </c>
      <c r="I5" s="19">
        <v>46314</v>
      </c>
      <c r="J5" s="19">
        <v>46330</v>
      </c>
      <c r="K5" s="19">
        <v>46337</v>
      </c>
      <c r="L5" s="19" t="s">
        <v>681</v>
      </c>
      <c r="M5" s="19"/>
      <c r="N5" s="4"/>
      <c r="O5" s="4"/>
      <c r="Q5" s="183">
        <f t="shared" si="1"/>
        <v>10</v>
      </c>
      <c r="R5" s="183">
        <f t="shared" si="2"/>
        <v>10</v>
      </c>
    </row>
    <row r="6" spans="1:18">
      <c r="A6" s="4">
        <v>4</v>
      </c>
      <c r="B6" s="3" t="s">
        <v>18</v>
      </c>
      <c r="C6" s="192"/>
      <c r="D6" s="175">
        <f t="shared" ca="1" si="0"/>
        <v>0.38461538461538464</v>
      </c>
      <c r="E6" s="175">
        <v>0.05</v>
      </c>
      <c r="F6" s="170">
        <v>46304</v>
      </c>
      <c r="G6" s="4" t="s">
        <v>57</v>
      </c>
      <c r="H6" s="19">
        <v>46323</v>
      </c>
      <c r="I6" s="19">
        <v>46314</v>
      </c>
      <c r="J6" s="19">
        <v>46330</v>
      </c>
      <c r="K6" s="19">
        <v>46337</v>
      </c>
      <c r="L6" s="19" t="s">
        <v>681</v>
      </c>
      <c r="M6" s="19"/>
      <c r="N6" s="4"/>
      <c r="O6" s="4"/>
      <c r="Q6" s="183">
        <f t="shared" si="1"/>
        <v>13</v>
      </c>
      <c r="R6" s="183">
        <f t="shared" si="2"/>
        <v>7.6923076923076925</v>
      </c>
    </row>
    <row r="7" spans="1:18">
      <c r="A7" s="4">
        <v>5</v>
      </c>
      <c r="B7" s="3" t="s">
        <v>20</v>
      </c>
      <c r="C7" s="192"/>
      <c r="D7" s="175">
        <f t="shared" ca="1" si="0"/>
        <v>0.38461538461538464</v>
      </c>
      <c r="E7" s="175">
        <v>0.05</v>
      </c>
      <c r="F7" s="170">
        <v>46304</v>
      </c>
      <c r="G7" s="4" t="s">
        <v>57</v>
      </c>
      <c r="H7" s="19">
        <v>46323</v>
      </c>
      <c r="I7" s="19">
        <v>46314</v>
      </c>
      <c r="J7" s="19">
        <v>46330</v>
      </c>
      <c r="K7" s="19">
        <v>46337</v>
      </c>
      <c r="L7" s="19" t="s">
        <v>681</v>
      </c>
      <c r="M7" s="19"/>
      <c r="N7" s="4"/>
      <c r="O7" s="4"/>
      <c r="Q7" s="183">
        <f t="shared" si="1"/>
        <v>13</v>
      </c>
      <c r="R7" s="183">
        <f t="shared" si="2"/>
        <v>7.6923076923076925</v>
      </c>
    </row>
    <row r="8" spans="1:18">
      <c r="A8" s="4">
        <v>6</v>
      </c>
      <c r="B8" s="3" t="s">
        <v>25</v>
      </c>
      <c r="C8" s="192"/>
      <c r="D8" s="175">
        <f t="shared" ca="1" si="0"/>
        <v>0.38461538461538464</v>
      </c>
      <c r="E8" s="175">
        <v>0.1</v>
      </c>
      <c r="F8" s="170">
        <v>46304</v>
      </c>
      <c r="G8" s="4" t="s">
        <v>57</v>
      </c>
      <c r="H8" s="19">
        <v>46323</v>
      </c>
      <c r="I8" s="19">
        <v>46314</v>
      </c>
      <c r="J8" s="19">
        <v>46330</v>
      </c>
      <c r="K8" s="19">
        <v>46337</v>
      </c>
      <c r="L8" s="19" t="s">
        <v>681</v>
      </c>
      <c r="M8" s="19"/>
      <c r="N8" s="4"/>
      <c r="O8" s="4"/>
      <c r="Q8" s="183">
        <f t="shared" si="1"/>
        <v>13</v>
      </c>
      <c r="R8" s="183">
        <f t="shared" si="2"/>
        <v>7.6923076923076925</v>
      </c>
    </row>
    <row r="9" spans="1:18">
      <c r="A9" s="4">
        <v>7</v>
      </c>
      <c r="B9" s="3" t="s">
        <v>27</v>
      </c>
      <c r="C9" s="192" t="s">
        <v>541</v>
      </c>
      <c r="D9" s="175">
        <f t="shared" ca="1" si="0"/>
        <v>0</v>
      </c>
      <c r="E9" s="175" t="s">
        <v>533</v>
      </c>
      <c r="F9" s="170">
        <v>46314</v>
      </c>
      <c r="G9" s="4" t="s">
        <v>57</v>
      </c>
      <c r="H9" s="19">
        <v>46323</v>
      </c>
      <c r="I9" s="19">
        <v>46323</v>
      </c>
      <c r="J9" s="19">
        <v>46330</v>
      </c>
      <c r="K9" s="19">
        <v>46337</v>
      </c>
      <c r="L9" s="19" t="s">
        <v>681</v>
      </c>
      <c r="M9" s="19"/>
      <c r="N9" s="4"/>
      <c r="O9" s="4"/>
      <c r="Q9" s="183">
        <f t="shared" si="1"/>
        <v>7</v>
      </c>
      <c r="R9" s="183">
        <f t="shared" si="2"/>
        <v>14.285714285714286</v>
      </c>
    </row>
    <row r="10" spans="1:18">
      <c r="A10" s="4">
        <v>8</v>
      </c>
      <c r="B10" s="3" t="s">
        <v>30</v>
      </c>
      <c r="C10" s="192"/>
      <c r="D10" s="175">
        <f t="shared" ca="1" si="0"/>
        <v>0.33333333333333337</v>
      </c>
      <c r="E10" s="175" t="s">
        <v>533</v>
      </c>
      <c r="F10" s="170">
        <v>46307</v>
      </c>
      <c r="G10" s="4" t="s">
        <v>57</v>
      </c>
      <c r="H10" s="19">
        <v>46323</v>
      </c>
      <c r="I10" s="19">
        <v>46314</v>
      </c>
      <c r="J10" s="19">
        <v>46330</v>
      </c>
      <c r="K10" s="19">
        <v>46337</v>
      </c>
      <c r="L10" s="19" t="s">
        <v>681</v>
      </c>
      <c r="M10" s="19"/>
      <c r="N10" s="4"/>
      <c r="O10" s="4"/>
      <c r="Q10" s="183">
        <f t="shared" si="1"/>
        <v>12</v>
      </c>
      <c r="R10" s="183">
        <f t="shared" si="2"/>
        <v>8.3333333333333339</v>
      </c>
    </row>
    <row r="11" spans="1:18">
      <c r="A11" s="4">
        <v>9</v>
      </c>
      <c r="B11" s="182" t="s">
        <v>33</v>
      </c>
      <c r="D11" s="175">
        <f t="shared" ca="1" si="0"/>
        <v>0.33333333333333337</v>
      </c>
      <c r="E11" s="175" t="s">
        <v>533</v>
      </c>
      <c r="F11" s="170">
        <v>46307</v>
      </c>
      <c r="G11" s="4" t="s">
        <v>57</v>
      </c>
      <c r="H11" s="19">
        <v>46323</v>
      </c>
      <c r="I11" s="19">
        <v>46314</v>
      </c>
      <c r="J11" s="19">
        <v>46330</v>
      </c>
      <c r="K11" s="19">
        <v>46337</v>
      </c>
      <c r="L11" s="19" t="s">
        <v>681</v>
      </c>
      <c r="M11" s="19"/>
      <c r="N11" s="4"/>
      <c r="O11" s="4"/>
      <c r="Q11" s="183">
        <f t="shared" si="1"/>
        <v>12</v>
      </c>
      <c r="R11" s="183">
        <f t="shared" si="2"/>
        <v>8.3333333333333339</v>
      </c>
    </row>
    <row r="12" spans="1:18">
      <c r="A12" s="4">
        <v>10</v>
      </c>
      <c r="B12" s="182" t="s">
        <v>37</v>
      </c>
      <c r="D12" s="175">
        <f t="shared" ca="1" si="0"/>
        <v>0.38461538461538464</v>
      </c>
      <c r="E12" s="175">
        <v>0.1</v>
      </c>
      <c r="F12" s="170">
        <v>46304</v>
      </c>
      <c r="G12" s="4" t="s">
        <v>57</v>
      </c>
      <c r="H12" s="19">
        <v>46323</v>
      </c>
      <c r="I12" s="19">
        <v>46314</v>
      </c>
      <c r="J12" s="19">
        <v>46330</v>
      </c>
      <c r="K12" s="19">
        <v>46337</v>
      </c>
      <c r="L12" s="19" t="s">
        <v>681</v>
      </c>
      <c r="M12" s="19"/>
      <c r="N12" s="4"/>
      <c r="O12" s="4"/>
      <c r="Q12" s="183">
        <f t="shared" si="1"/>
        <v>13</v>
      </c>
      <c r="R12" s="183">
        <f t="shared" si="2"/>
        <v>7.6923076923076925</v>
      </c>
    </row>
    <row r="13" spans="1:18" ht="45">
      <c r="A13" s="4">
        <v>11</v>
      </c>
      <c r="B13" s="182" t="s">
        <v>39</v>
      </c>
      <c r="D13" s="175">
        <f t="shared" ca="1" si="0"/>
        <v>0.33333333333333337</v>
      </c>
      <c r="E13" s="175" t="s">
        <v>533</v>
      </c>
      <c r="F13" s="170">
        <v>46307</v>
      </c>
      <c r="G13" s="4" t="s">
        <v>57</v>
      </c>
      <c r="H13" s="19">
        <v>46323</v>
      </c>
      <c r="I13" s="19">
        <v>46314</v>
      </c>
      <c r="J13" s="19">
        <v>46330</v>
      </c>
      <c r="K13" s="19">
        <v>46337</v>
      </c>
      <c r="L13" s="19" t="s">
        <v>681</v>
      </c>
      <c r="M13" s="19"/>
      <c r="N13" s="4"/>
      <c r="O13" s="4"/>
      <c r="Q13" s="183">
        <f t="shared" si="1"/>
        <v>12</v>
      </c>
      <c r="R13" s="183">
        <f t="shared" si="2"/>
        <v>8.3333333333333339</v>
      </c>
    </row>
    <row r="14" spans="1:18">
      <c r="A14" s="4">
        <v>12</v>
      </c>
      <c r="B14" s="182" t="s">
        <v>782</v>
      </c>
      <c r="D14" s="175">
        <f t="shared" ca="1" si="0"/>
        <v>0.1111111111111111</v>
      </c>
      <c r="E14" s="175" t="s">
        <v>533</v>
      </c>
      <c r="F14" s="170">
        <v>46310</v>
      </c>
      <c r="G14" s="180" t="s">
        <v>783</v>
      </c>
      <c r="H14" s="19">
        <v>46323</v>
      </c>
      <c r="I14" s="19">
        <v>46314</v>
      </c>
      <c r="J14" s="19">
        <v>46330</v>
      </c>
      <c r="K14" s="19">
        <v>46337</v>
      </c>
      <c r="L14" s="19" t="s">
        <v>681</v>
      </c>
      <c r="M14" s="191"/>
      <c r="Q14" s="183">
        <f t="shared" si="1"/>
        <v>9</v>
      </c>
      <c r="R14" s="183">
        <f t="shared" si="2"/>
        <v>11.111111111111111</v>
      </c>
    </row>
    <row r="15" spans="1:18">
      <c r="Q15" s="183"/>
      <c r="R15" s="183"/>
    </row>
    <row r="16" spans="1:18">
      <c r="A16" s="4">
        <v>13</v>
      </c>
      <c r="B16" s="189" t="s">
        <v>28</v>
      </c>
      <c r="C16" s="188"/>
      <c r="D16" s="186"/>
      <c r="E16" s="186" t="s">
        <v>759</v>
      </c>
      <c r="F16" s="187" t="s">
        <v>759</v>
      </c>
      <c r="G16" s="186" t="s">
        <v>759</v>
      </c>
      <c r="H16" s="185" t="s">
        <v>759</v>
      </c>
      <c r="I16" s="184" t="s">
        <v>759</v>
      </c>
      <c r="J16" s="185" t="s">
        <v>759</v>
      </c>
      <c r="K16" s="184" t="s">
        <v>759</v>
      </c>
      <c r="L16" s="184" t="s">
        <v>681</v>
      </c>
      <c r="M16" s="172"/>
      <c r="N16" s="171"/>
      <c r="O16" s="171"/>
      <c r="Q16" s="183"/>
      <c r="R16" s="183"/>
    </row>
    <row r="17" spans="1:18">
      <c r="A17" s="4">
        <v>14</v>
      </c>
      <c r="B17" s="189" t="s">
        <v>22</v>
      </c>
      <c r="C17" s="188"/>
      <c r="D17" s="190"/>
      <c r="E17" s="186" t="s">
        <v>759</v>
      </c>
      <c r="F17" s="187" t="s">
        <v>759</v>
      </c>
      <c r="G17" s="186" t="s">
        <v>759</v>
      </c>
      <c r="H17" s="185" t="s">
        <v>759</v>
      </c>
      <c r="I17" s="184" t="s">
        <v>759</v>
      </c>
      <c r="J17" s="185" t="s">
        <v>759</v>
      </c>
      <c r="K17" s="184" t="s">
        <v>759</v>
      </c>
      <c r="L17" s="184" t="s">
        <v>681</v>
      </c>
      <c r="M17" s="172"/>
      <c r="N17" s="171"/>
      <c r="O17" s="171"/>
      <c r="Q17" s="183"/>
      <c r="R17" s="183"/>
    </row>
    <row r="18" spans="1:18">
      <c r="A18" s="4">
        <v>15</v>
      </c>
      <c r="B18" s="189" t="s">
        <v>82</v>
      </c>
      <c r="C18" s="188"/>
      <c r="D18" s="186"/>
      <c r="E18" s="186" t="s">
        <v>759</v>
      </c>
      <c r="F18" s="187" t="s">
        <v>759</v>
      </c>
      <c r="G18" s="186" t="s">
        <v>759</v>
      </c>
      <c r="H18" s="185" t="s">
        <v>759</v>
      </c>
      <c r="I18" s="184" t="s">
        <v>759</v>
      </c>
      <c r="J18" s="185" t="s">
        <v>759</v>
      </c>
      <c r="K18" s="184" t="s">
        <v>759</v>
      </c>
      <c r="L18" s="184" t="s">
        <v>681</v>
      </c>
      <c r="M18" s="172"/>
      <c r="N18" s="171"/>
      <c r="O18" s="171"/>
      <c r="Q18" s="183"/>
      <c r="R18" s="183"/>
    </row>
    <row r="20" spans="1:18">
      <c r="A20" s="4">
        <v>15</v>
      </c>
      <c r="B20" s="182" t="s">
        <v>792</v>
      </c>
      <c r="D20" s="175">
        <f t="shared" ref="D20" ca="1" si="3">IF(F20&gt;TODAY(),0%,NETWORKDAYS(F20,TODAY())*R20%)</f>
        <v>0.1111111111111111</v>
      </c>
      <c r="E20" s="175" t="s">
        <v>533</v>
      </c>
      <c r="F20" s="170">
        <v>46310</v>
      </c>
      <c r="G20" s="180" t="s">
        <v>783</v>
      </c>
      <c r="H20" s="19">
        <v>46323</v>
      </c>
      <c r="I20" s="19">
        <v>46314</v>
      </c>
      <c r="J20" s="19">
        <v>46330</v>
      </c>
      <c r="K20" s="19">
        <v>46337</v>
      </c>
      <c r="L20" s="19" t="s">
        <v>799</v>
      </c>
      <c r="M20" s="191"/>
      <c r="Q20" s="183">
        <f t="shared" ref="Q20" si="4">NETWORKDAYS(F20,H20-1)</f>
        <v>9</v>
      </c>
      <c r="R20" s="183">
        <f t="shared" ref="R20" si="5">100/Q20</f>
        <v>11.111111111111111</v>
      </c>
    </row>
  </sheetData>
  <mergeCells count="2">
    <mergeCell ref="A1:K1"/>
    <mergeCell ref="N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7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 activeCell="D21" sqref="D21"/>
    </sheetView>
  </sheetViews>
  <sheetFormatPr defaultColWidth="8.85546875" defaultRowHeight="15"/>
  <cols>
    <col min="1" max="1" width="6.5703125" customWidth="1"/>
    <col min="2" max="2" width="43.42578125" bestFit="1" customWidth="1"/>
    <col min="3" max="3" width="9" bestFit="1" customWidth="1"/>
    <col min="4" max="4" width="9.5703125" bestFit="1" customWidth="1"/>
    <col min="5" max="5" width="22.85546875" bestFit="1" customWidth="1"/>
    <col min="6" max="6" width="19.5703125" bestFit="1" customWidth="1"/>
    <col min="7" max="7" width="7.85546875" bestFit="1" customWidth="1"/>
    <col min="8" max="8" width="9.85546875" customWidth="1"/>
    <col min="9" max="9" width="15.42578125" bestFit="1" customWidth="1"/>
    <col min="10" max="10" width="13.42578125" bestFit="1" customWidth="1"/>
    <col min="11" max="11" width="16.7109375" customWidth="1"/>
  </cols>
  <sheetData>
    <row r="1" spans="1:11" ht="26.1" customHeight="1">
      <c r="A1" s="200" t="s">
        <v>414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1" ht="27">
      <c r="A2" s="1" t="s">
        <v>415</v>
      </c>
      <c r="B2" s="1" t="s">
        <v>416</v>
      </c>
      <c r="C2" s="1" t="s">
        <v>417</v>
      </c>
      <c r="D2" s="1" t="s">
        <v>418</v>
      </c>
      <c r="E2" s="1" t="s">
        <v>419</v>
      </c>
      <c r="F2" s="1" t="s">
        <v>420</v>
      </c>
      <c r="G2" s="1" t="s">
        <v>100</v>
      </c>
      <c r="H2" s="1" t="s">
        <v>101</v>
      </c>
      <c r="I2" s="1" t="s">
        <v>421</v>
      </c>
      <c r="J2" s="1" t="s">
        <v>422</v>
      </c>
      <c r="K2" s="1" t="s">
        <v>423</v>
      </c>
    </row>
    <row r="3" spans="1:11">
      <c r="A3" s="4">
        <v>1</v>
      </c>
      <c r="B3" s="3" t="s">
        <v>11</v>
      </c>
      <c r="C3" s="3"/>
      <c r="D3" s="4"/>
      <c r="E3" s="20"/>
      <c r="F3" s="3"/>
      <c r="G3" s="21"/>
      <c r="H3" s="21"/>
      <c r="I3" s="5" t="s">
        <v>425</v>
      </c>
      <c r="J3" s="3" t="s">
        <v>426</v>
      </c>
      <c r="K3" s="3" t="s">
        <v>57</v>
      </c>
    </row>
    <row r="4" spans="1:11">
      <c r="A4" s="4">
        <v>2</v>
      </c>
      <c r="B4" s="3" t="s">
        <v>14</v>
      </c>
      <c r="C4" s="3"/>
      <c r="D4" s="6"/>
      <c r="E4" s="20"/>
      <c r="F4" s="3"/>
      <c r="G4" s="21"/>
      <c r="H4" s="21"/>
      <c r="I4" s="7" t="s">
        <v>428</v>
      </c>
      <c r="J4" s="3" t="s">
        <v>426</v>
      </c>
      <c r="K4" s="3" t="s">
        <v>57</v>
      </c>
    </row>
    <row r="5" spans="1:11">
      <c r="A5" s="4">
        <v>3</v>
      </c>
      <c r="B5" s="3" t="s">
        <v>16</v>
      </c>
      <c r="C5" s="3"/>
      <c r="D5" s="6"/>
      <c r="E5" s="20"/>
      <c r="F5" s="3"/>
      <c r="G5" s="21"/>
      <c r="H5" s="21"/>
      <c r="I5" s="7" t="s">
        <v>428</v>
      </c>
      <c r="J5" s="3" t="s">
        <v>426</v>
      </c>
      <c r="K5" s="3" t="s">
        <v>57</v>
      </c>
    </row>
    <row r="6" spans="1:11">
      <c r="A6" s="4">
        <v>4</v>
      </c>
      <c r="B6" s="3" t="s">
        <v>18</v>
      </c>
      <c r="C6" s="3"/>
      <c r="D6" s="6"/>
      <c r="E6" s="20"/>
      <c r="F6" s="3"/>
      <c r="G6" s="21"/>
      <c r="H6" s="21"/>
      <c r="I6" s="5" t="s">
        <v>425</v>
      </c>
      <c r="J6" s="3" t="s">
        <v>426</v>
      </c>
      <c r="K6" s="3" t="s">
        <v>57</v>
      </c>
    </row>
    <row r="7" spans="1:11">
      <c r="A7" s="4">
        <v>5</v>
      </c>
      <c r="B7" s="3" t="s">
        <v>20</v>
      </c>
      <c r="C7" s="3"/>
      <c r="D7" s="6"/>
      <c r="E7" s="20"/>
      <c r="F7" s="3"/>
      <c r="G7" s="21"/>
      <c r="H7" s="21"/>
      <c r="I7" s="5" t="s">
        <v>425</v>
      </c>
      <c r="J7" s="3" t="s">
        <v>426</v>
      </c>
      <c r="K7" s="3" t="s">
        <v>57</v>
      </c>
    </row>
    <row r="8" spans="1:11">
      <c r="A8" s="4">
        <v>6</v>
      </c>
      <c r="B8" s="3" t="s">
        <v>22</v>
      </c>
      <c r="C8" s="3"/>
      <c r="D8" s="4"/>
      <c r="E8" s="20"/>
      <c r="F8" s="3"/>
      <c r="G8" s="21"/>
      <c r="H8" s="21"/>
      <c r="I8" s="5" t="s">
        <v>425</v>
      </c>
      <c r="J8" s="3" t="s">
        <v>426</v>
      </c>
      <c r="K8" s="3" t="s">
        <v>758</v>
      </c>
    </row>
    <row r="9" spans="1:11">
      <c r="A9" s="4">
        <v>7</v>
      </c>
      <c r="B9" s="3" t="s">
        <v>25</v>
      </c>
      <c r="C9" s="3"/>
      <c r="D9" s="4"/>
      <c r="E9" s="20"/>
      <c r="F9" s="3"/>
      <c r="G9" s="21"/>
      <c r="H9" s="21"/>
      <c r="I9" s="4" t="s">
        <v>426</v>
      </c>
      <c r="J9" s="3" t="s">
        <v>426</v>
      </c>
      <c r="K9" s="3" t="s">
        <v>57</v>
      </c>
    </row>
    <row r="10" spans="1:11">
      <c r="A10" s="4">
        <v>8</v>
      </c>
      <c r="B10" s="3" t="s">
        <v>27</v>
      </c>
      <c r="C10" s="3"/>
      <c r="D10" s="4"/>
      <c r="E10" s="20"/>
      <c r="F10" s="3"/>
      <c r="G10" s="21"/>
      <c r="H10" s="21"/>
      <c r="I10" s="4" t="s">
        <v>426</v>
      </c>
      <c r="J10" s="3" t="s">
        <v>426</v>
      </c>
      <c r="K10" s="3" t="s">
        <v>427</v>
      </c>
    </row>
    <row r="11" spans="1:11">
      <c r="A11" s="4">
        <v>9</v>
      </c>
      <c r="B11" s="3" t="s">
        <v>28</v>
      </c>
      <c r="C11" s="3"/>
      <c r="D11" s="4"/>
      <c r="E11" s="20"/>
      <c r="F11" s="3"/>
      <c r="G11" s="21"/>
      <c r="H11" s="21"/>
      <c r="I11" s="4" t="s">
        <v>426</v>
      </c>
      <c r="J11" s="3" t="s">
        <v>426</v>
      </c>
      <c r="K11" s="3" t="s">
        <v>758</v>
      </c>
    </row>
    <row r="12" spans="1:11">
      <c r="A12" s="4">
        <v>10</v>
      </c>
      <c r="B12" s="3" t="s">
        <v>30</v>
      </c>
      <c r="C12" s="3"/>
      <c r="D12" s="6"/>
      <c r="E12" s="20"/>
      <c r="F12" s="3"/>
      <c r="G12" s="21"/>
      <c r="H12" s="21"/>
      <c r="I12" s="4" t="s">
        <v>426</v>
      </c>
      <c r="J12" s="3" t="s">
        <v>426</v>
      </c>
      <c r="K12" s="3" t="s">
        <v>781</v>
      </c>
    </row>
    <row r="13" spans="1:11">
      <c r="A13" s="4">
        <v>11</v>
      </c>
      <c r="B13" t="s">
        <v>33</v>
      </c>
      <c r="D13" s="4"/>
      <c r="I13" s="4" t="s">
        <v>426</v>
      </c>
      <c r="J13" s="3" t="s">
        <v>426</v>
      </c>
      <c r="K13" s="3" t="s">
        <v>57</v>
      </c>
    </row>
    <row r="14" spans="1:11">
      <c r="A14" s="4">
        <v>12</v>
      </c>
      <c r="B14" t="s">
        <v>82</v>
      </c>
      <c r="D14" s="6"/>
      <c r="I14" s="4" t="s">
        <v>426</v>
      </c>
      <c r="J14" s="3" t="s">
        <v>426</v>
      </c>
      <c r="K14" s="3" t="s">
        <v>758</v>
      </c>
    </row>
    <row r="15" spans="1:11">
      <c r="A15" s="4">
        <v>13</v>
      </c>
      <c r="B15" t="s">
        <v>37</v>
      </c>
      <c r="D15" s="6"/>
      <c r="I15" s="4" t="s">
        <v>426</v>
      </c>
      <c r="J15" s="3" t="s">
        <v>426</v>
      </c>
      <c r="K15" s="3" t="s">
        <v>57</v>
      </c>
    </row>
    <row r="16" spans="1:11">
      <c r="A16" s="4">
        <v>14</v>
      </c>
      <c r="B16" t="s">
        <v>39</v>
      </c>
      <c r="D16" s="4"/>
      <c r="I16" s="4" t="s">
        <v>426</v>
      </c>
      <c r="J16" s="3" t="s">
        <v>426</v>
      </c>
      <c r="K16" s="3" t="s">
        <v>427</v>
      </c>
    </row>
    <row r="17" spans="1:11">
      <c r="A17" s="180">
        <v>15</v>
      </c>
      <c r="B17" t="s">
        <v>782</v>
      </c>
      <c r="I17" s="4" t="s">
        <v>426</v>
      </c>
      <c r="J17" s="3" t="s">
        <v>426</v>
      </c>
      <c r="K17" s="3" t="s">
        <v>427</v>
      </c>
    </row>
  </sheetData>
  <mergeCells count="1">
    <mergeCell ref="A1:K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R17"/>
  <sheetViews>
    <sheetView zoomScaleNormal="100" workbookViewId="0">
      <pane xSplit="1" ySplit="2" topLeftCell="B3" activePane="bottomRight" state="frozen"/>
      <selection pane="topRight"/>
      <selection pane="bottomLeft"/>
      <selection pane="bottomRight" activeCell="C6" sqref="C6"/>
    </sheetView>
  </sheetViews>
  <sheetFormatPr defaultColWidth="8.85546875" defaultRowHeight="15" customHeight="1"/>
  <cols>
    <col min="1" max="1" width="4" customWidth="1"/>
    <col min="2" max="2" width="38.85546875" bestFit="1" customWidth="1"/>
    <col min="3" max="3" width="11.42578125" bestFit="1" customWidth="1"/>
    <col min="4" max="6" width="15" customWidth="1"/>
    <col min="7" max="7" width="7" customWidth="1"/>
    <col min="8" max="8" width="11.5703125" customWidth="1"/>
    <col min="9" max="10" width="12" customWidth="1"/>
    <col min="11" max="13" width="14" customWidth="1"/>
    <col min="14" max="15" width="16" customWidth="1"/>
    <col min="16" max="16" width="13" customWidth="1"/>
    <col min="17" max="17" width="11" customWidth="1"/>
    <col min="18" max="18" width="13" customWidth="1"/>
  </cols>
  <sheetData>
    <row r="1" spans="1:18" ht="26.1" customHeight="1">
      <c r="A1" s="200" t="s">
        <v>523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</row>
    <row r="2" spans="1:18" ht="54">
      <c r="A2" s="1" t="s">
        <v>415</v>
      </c>
      <c r="B2" s="1" t="s">
        <v>416</v>
      </c>
      <c r="C2" s="1" t="s">
        <v>752</v>
      </c>
      <c r="D2" s="1" t="s">
        <v>524</v>
      </c>
      <c r="E2" s="1" t="s">
        <v>763</v>
      </c>
      <c r="F2" s="1" t="s">
        <v>764</v>
      </c>
      <c r="G2" s="1" t="s">
        <v>766</v>
      </c>
      <c r="H2" s="1" t="s">
        <v>765</v>
      </c>
      <c r="I2" s="1" t="s">
        <v>388</v>
      </c>
      <c r="J2" s="1" t="s">
        <v>525</v>
      </c>
      <c r="K2" s="1" t="s">
        <v>526</v>
      </c>
      <c r="L2" s="1" t="s">
        <v>753</v>
      </c>
      <c r="M2" s="1" t="s">
        <v>527</v>
      </c>
      <c r="N2" s="1" t="s">
        <v>528</v>
      </c>
      <c r="O2" s="1" t="s">
        <v>529</v>
      </c>
      <c r="P2" s="1" t="s">
        <v>530</v>
      </c>
      <c r="Q2" s="1" t="s">
        <v>531</v>
      </c>
      <c r="R2" s="1" t="s">
        <v>532</v>
      </c>
    </row>
    <row r="3" spans="1:18">
      <c r="A3" s="4">
        <v>1</v>
      </c>
      <c r="B3" s="3" t="s">
        <v>11</v>
      </c>
      <c r="C3" s="170">
        <v>46307</v>
      </c>
      <c r="D3" s="4" t="s">
        <v>57</v>
      </c>
      <c r="E3" s="4"/>
      <c r="F3" s="4"/>
      <c r="G3" s="4">
        <v>8</v>
      </c>
      <c r="H3" s="4"/>
      <c r="I3" s="19">
        <v>46323</v>
      </c>
      <c r="J3" s="19">
        <v>46314</v>
      </c>
      <c r="K3" s="19">
        <v>46330</v>
      </c>
      <c r="L3" s="19">
        <v>46337</v>
      </c>
      <c r="M3" s="4"/>
      <c r="N3" s="4" t="s">
        <v>533</v>
      </c>
      <c r="O3" s="4" t="s">
        <v>533</v>
      </c>
      <c r="P3" s="4" t="s">
        <v>424</v>
      </c>
      <c r="Q3" s="7" t="s">
        <v>534</v>
      </c>
      <c r="R3" s="4"/>
    </row>
    <row r="4" spans="1:18">
      <c r="A4" s="4">
        <v>2</v>
      </c>
      <c r="B4" s="3" t="s">
        <v>14</v>
      </c>
      <c r="C4" s="170">
        <v>46307</v>
      </c>
      <c r="D4" s="4" t="s">
        <v>57</v>
      </c>
      <c r="E4" s="4"/>
      <c r="F4" s="4"/>
      <c r="G4" s="4">
        <v>8</v>
      </c>
      <c r="H4" s="4"/>
      <c r="I4" s="19">
        <v>46323</v>
      </c>
      <c r="J4" s="19">
        <v>46314</v>
      </c>
      <c r="K4" s="19">
        <v>46330</v>
      </c>
      <c r="L4" s="19">
        <v>46337</v>
      </c>
      <c r="M4" s="4"/>
      <c r="N4" s="4" t="s">
        <v>533</v>
      </c>
      <c r="O4" s="4" t="s">
        <v>533</v>
      </c>
      <c r="P4" s="4" t="s">
        <v>424</v>
      </c>
      <c r="Q4" s="7" t="s">
        <v>534</v>
      </c>
      <c r="R4" s="4"/>
    </row>
    <row r="5" spans="1:18">
      <c r="A5" s="4">
        <v>3</v>
      </c>
      <c r="B5" s="3" t="s">
        <v>16</v>
      </c>
      <c r="C5" s="170">
        <v>46309</v>
      </c>
      <c r="D5" s="4" t="s">
        <v>57</v>
      </c>
      <c r="E5" s="4"/>
      <c r="F5" s="4"/>
      <c r="G5" s="4" t="s">
        <v>533</v>
      </c>
      <c r="H5" s="4"/>
      <c r="I5" s="19">
        <v>46323</v>
      </c>
      <c r="J5" s="19">
        <v>46314</v>
      </c>
      <c r="K5" s="19">
        <v>46330</v>
      </c>
      <c r="L5" s="19">
        <v>46337</v>
      </c>
      <c r="M5" s="4"/>
      <c r="N5" s="4" t="s">
        <v>533</v>
      </c>
      <c r="O5" s="4" t="s">
        <v>533</v>
      </c>
      <c r="P5" s="4" t="s">
        <v>424</v>
      </c>
      <c r="Q5" s="7" t="s">
        <v>534</v>
      </c>
      <c r="R5" s="4"/>
    </row>
    <row r="6" spans="1:18">
      <c r="A6" s="4">
        <v>4</v>
      </c>
      <c r="B6" s="3" t="s">
        <v>18</v>
      </c>
      <c r="C6" s="170">
        <v>46304</v>
      </c>
      <c r="D6" s="4" t="s">
        <v>57</v>
      </c>
      <c r="E6" s="4"/>
      <c r="F6" s="4"/>
      <c r="G6" s="175">
        <v>0.05</v>
      </c>
      <c r="H6" s="175"/>
      <c r="I6" s="19">
        <v>46323</v>
      </c>
      <c r="J6" s="19">
        <v>46314</v>
      </c>
      <c r="K6" s="19">
        <v>46330</v>
      </c>
      <c r="L6" s="19">
        <v>46337</v>
      </c>
      <c r="M6" s="4"/>
      <c r="N6" s="4" t="s">
        <v>533</v>
      </c>
      <c r="O6" s="4" t="s">
        <v>533</v>
      </c>
      <c r="P6" s="4" t="s">
        <v>424</v>
      </c>
      <c r="Q6" s="7" t="s">
        <v>534</v>
      </c>
      <c r="R6" s="4"/>
    </row>
    <row r="7" spans="1:18">
      <c r="A7" s="4">
        <v>5</v>
      </c>
      <c r="B7" s="3" t="s">
        <v>20</v>
      </c>
      <c r="C7" s="170">
        <v>46304</v>
      </c>
      <c r="D7" s="4" t="s">
        <v>57</v>
      </c>
      <c r="E7" s="4"/>
      <c r="F7" s="4"/>
      <c r="G7" s="175">
        <v>0.05</v>
      </c>
      <c r="H7" s="175"/>
      <c r="I7" s="19">
        <v>46323</v>
      </c>
      <c r="J7" s="19">
        <v>46314</v>
      </c>
      <c r="K7" s="19">
        <v>46330</v>
      </c>
      <c r="L7" s="19">
        <v>46337</v>
      </c>
      <c r="M7" s="4"/>
      <c r="N7" s="4"/>
      <c r="O7" s="4"/>
      <c r="P7" s="4"/>
      <c r="Q7" s="7"/>
      <c r="R7" s="4"/>
    </row>
    <row r="8" spans="1:18">
      <c r="A8" s="4">
        <v>6</v>
      </c>
      <c r="B8" s="3" t="s">
        <v>22</v>
      </c>
      <c r="C8" s="170" t="s">
        <v>759</v>
      </c>
      <c r="D8" s="171" t="s">
        <v>759</v>
      </c>
      <c r="E8" s="171"/>
      <c r="F8" s="171"/>
      <c r="G8" s="171" t="s">
        <v>759</v>
      </c>
      <c r="H8" s="171"/>
      <c r="I8" s="19" t="s">
        <v>759</v>
      </c>
      <c r="J8" s="172" t="s">
        <v>759</v>
      </c>
      <c r="K8" s="19" t="s">
        <v>759</v>
      </c>
      <c r="L8" s="172" t="s">
        <v>759</v>
      </c>
      <c r="M8" s="171" t="s">
        <v>759</v>
      </c>
      <c r="N8" s="171" t="s">
        <v>759</v>
      </c>
      <c r="O8" s="171" t="s">
        <v>759</v>
      </c>
      <c r="P8" s="171" t="s">
        <v>759</v>
      </c>
      <c r="Q8" s="173" t="s">
        <v>759</v>
      </c>
      <c r="R8" s="171" t="s">
        <v>759</v>
      </c>
    </row>
    <row r="9" spans="1:18">
      <c r="A9" s="4">
        <v>7</v>
      </c>
      <c r="B9" s="3" t="s">
        <v>25</v>
      </c>
      <c r="C9" s="170">
        <v>46304</v>
      </c>
      <c r="D9" s="4" t="s">
        <v>57</v>
      </c>
      <c r="E9" s="4"/>
      <c r="F9" s="4"/>
      <c r="G9" s="175">
        <v>0.1</v>
      </c>
      <c r="H9" s="175"/>
      <c r="I9" s="19">
        <v>46323</v>
      </c>
      <c r="J9" s="19">
        <v>46314</v>
      </c>
      <c r="K9" s="19">
        <v>46330</v>
      </c>
      <c r="L9" s="19">
        <v>46337</v>
      </c>
      <c r="M9" s="4"/>
      <c r="N9" s="4" t="s">
        <v>533</v>
      </c>
      <c r="O9" s="4" t="s">
        <v>533</v>
      </c>
      <c r="P9" s="4" t="s">
        <v>424</v>
      </c>
      <c r="Q9" s="7" t="s">
        <v>534</v>
      </c>
      <c r="R9" s="4"/>
    </row>
    <row r="10" spans="1:18">
      <c r="A10" s="4">
        <v>8</v>
      </c>
      <c r="B10" s="3" t="s">
        <v>27</v>
      </c>
      <c r="C10" s="170">
        <v>46314</v>
      </c>
      <c r="D10" s="4" t="s">
        <v>57</v>
      </c>
      <c r="E10" s="4"/>
      <c r="F10" s="4"/>
      <c r="G10" s="4" t="s">
        <v>533</v>
      </c>
      <c r="H10" s="4"/>
      <c r="I10" s="19">
        <v>46328</v>
      </c>
      <c r="J10" s="19">
        <v>46323</v>
      </c>
      <c r="K10" s="19">
        <v>46330</v>
      </c>
      <c r="L10" s="19">
        <v>46337</v>
      </c>
      <c r="M10" s="4"/>
      <c r="N10" s="4" t="s">
        <v>533</v>
      </c>
      <c r="O10" s="4" t="s">
        <v>533</v>
      </c>
      <c r="P10" s="4" t="s">
        <v>424</v>
      </c>
      <c r="Q10" s="7" t="s">
        <v>534</v>
      </c>
      <c r="R10" s="4"/>
    </row>
    <row r="11" spans="1:18">
      <c r="A11" s="4">
        <v>9</v>
      </c>
      <c r="B11" s="3" t="s">
        <v>28</v>
      </c>
      <c r="C11" s="170" t="s">
        <v>759</v>
      </c>
      <c r="D11" s="171" t="s">
        <v>759</v>
      </c>
      <c r="E11" s="171"/>
      <c r="F11" s="171"/>
      <c r="G11" s="171" t="s">
        <v>759</v>
      </c>
      <c r="H11" s="171"/>
      <c r="I11" s="19" t="s">
        <v>759</v>
      </c>
      <c r="J11" s="172" t="s">
        <v>759</v>
      </c>
      <c r="K11" s="19" t="s">
        <v>759</v>
      </c>
      <c r="L11" s="172" t="s">
        <v>759</v>
      </c>
      <c r="M11" s="171" t="s">
        <v>759</v>
      </c>
      <c r="N11" s="171" t="s">
        <v>759</v>
      </c>
      <c r="O11" s="171" t="s">
        <v>759</v>
      </c>
      <c r="P11" s="171" t="s">
        <v>759</v>
      </c>
      <c r="Q11" s="173" t="s">
        <v>759</v>
      </c>
      <c r="R11" s="171" t="s">
        <v>759</v>
      </c>
    </row>
    <row r="12" spans="1:18">
      <c r="A12" s="4">
        <v>10</v>
      </c>
      <c r="B12" s="3" t="s">
        <v>30</v>
      </c>
      <c r="C12" s="170">
        <v>46307</v>
      </c>
      <c r="D12" s="4" t="s">
        <v>57</v>
      </c>
      <c r="E12" s="4"/>
      <c r="F12" s="4"/>
      <c r="G12" s="4" t="s">
        <v>533</v>
      </c>
      <c r="H12" s="4"/>
      <c r="I12" s="19">
        <v>46323</v>
      </c>
      <c r="J12" s="19">
        <v>46314</v>
      </c>
      <c r="K12" s="19">
        <v>46330</v>
      </c>
      <c r="L12" s="19">
        <v>46337</v>
      </c>
      <c r="M12" s="4"/>
      <c r="N12" s="4" t="s">
        <v>533</v>
      </c>
      <c r="O12" s="4" t="s">
        <v>533</v>
      </c>
      <c r="P12" s="4" t="s">
        <v>424</v>
      </c>
      <c r="Q12" s="7" t="s">
        <v>534</v>
      </c>
      <c r="R12" s="4"/>
    </row>
    <row r="13" spans="1:18">
      <c r="A13" s="4">
        <v>11</v>
      </c>
      <c r="B13" t="s">
        <v>33</v>
      </c>
      <c r="C13" s="170">
        <v>46307</v>
      </c>
      <c r="D13" s="4" t="s">
        <v>57</v>
      </c>
      <c r="E13" s="4"/>
      <c r="F13" s="4"/>
      <c r="G13" s="4" t="s">
        <v>533</v>
      </c>
      <c r="H13" s="4"/>
      <c r="I13" s="19">
        <v>46323</v>
      </c>
      <c r="J13" s="19">
        <v>46314</v>
      </c>
      <c r="K13" s="19">
        <v>46330</v>
      </c>
      <c r="L13" s="19">
        <v>46337</v>
      </c>
      <c r="M13" s="4"/>
      <c r="N13" s="4" t="s">
        <v>533</v>
      </c>
      <c r="O13" s="4" t="s">
        <v>533</v>
      </c>
      <c r="P13" s="4" t="s">
        <v>424</v>
      </c>
      <c r="Q13" s="7" t="s">
        <v>534</v>
      </c>
      <c r="R13" s="4"/>
    </row>
    <row r="14" spans="1:18">
      <c r="A14" s="4">
        <v>12</v>
      </c>
      <c r="B14" t="s">
        <v>82</v>
      </c>
      <c r="C14" s="170" t="s">
        <v>759</v>
      </c>
      <c r="D14" s="171" t="s">
        <v>759</v>
      </c>
      <c r="E14" s="171"/>
      <c r="F14" s="171"/>
      <c r="G14" s="171" t="s">
        <v>759</v>
      </c>
      <c r="H14" s="171"/>
      <c r="I14" s="19" t="s">
        <v>759</v>
      </c>
      <c r="J14" s="172" t="s">
        <v>759</v>
      </c>
      <c r="K14" s="19" t="s">
        <v>759</v>
      </c>
      <c r="L14" s="172" t="s">
        <v>759</v>
      </c>
      <c r="M14" s="171" t="s">
        <v>759</v>
      </c>
      <c r="N14" s="171" t="s">
        <v>759</v>
      </c>
      <c r="O14" s="171" t="s">
        <v>759</v>
      </c>
      <c r="P14" s="171" t="s">
        <v>759</v>
      </c>
      <c r="Q14" s="173" t="s">
        <v>759</v>
      </c>
      <c r="R14" s="174" t="s">
        <v>759</v>
      </c>
    </row>
    <row r="15" spans="1:18">
      <c r="A15" s="4">
        <v>13</v>
      </c>
      <c r="B15" t="s">
        <v>37</v>
      </c>
      <c r="C15" s="170">
        <v>46304</v>
      </c>
      <c r="D15" s="4" t="s">
        <v>57</v>
      </c>
      <c r="E15" s="4"/>
      <c r="F15" s="4"/>
      <c r="G15" s="175">
        <v>0.1</v>
      </c>
      <c r="H15" s="175"/>
      <c r="I15" s="19">
        <v>46323</v>
      </c>
      <c r="J15" s="19">
        <v>46314</v>
      </c>
      <c r="K15" s="19">
        <v>46330</v>
      </c>
      <c r="L15" s="19">
        <v>46337</v>
      </c>
      <c r="M15" s="4"/>
      <c r="N15" s="4" t="s">
        <v>533</v>
      </c>
      <c r="O15" s="4" t="s">
        <v>533</v>
      </c>
      <c r="P15" s="4" t="s">
        <v>424</v>
      </c>
      <c r="Q15" s="7" t="s">
        <v>534</v>
      </c>
    </row>
    <row r="16" spans="1:18">
      <c r="A16" s="4">
        <v>14</v>
      </c>
      <c r="B16" t="s">
        <v>39</v>
      </c>
      <c r="C16" s="170">
        <v>46307</v>
      </c>
      <c r="D16" s="4" t="s">
        <v>57</v>
      </c>
      <c r="E16" s="4"/>
      <c r="F16" s="4"/>
      <c r="G16" s="4" t="s">
        <v>533</v>
      </c>
      <c r="H16" s="4"/>
      <c r="I16" s="19">
        <v>46323</v>
      </c>
      <c r="J16" s="19">
        <v>46314</v>
      </c>
      <c r="K16" s="19">
        <v>46330</v>
      </c>
      <c r="L16" s="19">
        <v>46337</v>
      </c>
      <c r="M16" s="4"/>
      <c r="N16" s="4" t="s">
        <v>533</v>
      </c>
      <c r="O16" s="4" t="s">
        <v>533</v>
      </c>
      <c r="P16" s="4" t="s">
        <v>424</v>
      </c>
      <c r="Q16" s="7" t="s">
        <v>534</v>
      </c>
    </row>
    <row r="17" spans="1:17" ht="15" customHeight="1">
      <c r="A17" s="180">
        <v>14</v>
      </c>
      <c r="B17" t="s">
        <v>782</v>
      </c>
      <c r="C17" s="170">
        <v>46310</v>
      </c>
      <c r="D17" s="180" t="s">
        <v>783</v>
      </c>
      <c r="G17" s="4" t="s">
        <v>533</v>
      </c>
      <c r="I17" s="19">
        <v>46323</v>
      </c>
      <c r="J17" s="19">
        <v>46314</v>
      </c>
      <c r="K17" s="19">
        <v>46330</v>
      </c>
      <c r="L17" s="19">
        <v>46337</v>
      </c>
      <c r="N17" s="4" t="s">
        <v>533</v>
      </c>
      <c r="O17" s="4" t="s">
        <v>533</v>
      </c>
      <c r="P17" s="4" t="s">
        <v>424</v>
      </c>
      <c r="Q17" s="7" t="s">
        <v>534</v>
      </c>
    </row>
  </sheetData>
  <mergeCells count="1">
    <mergeCell ref="A1:R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5D18-5BA4-8745-B2F7-E43A5EB6C32A}">
  <dimension ref="A1:H27"/>
  <sheetViews>
    <sheetView zoomScaleNormal="100" workbookViewId="0">
      <selection activeCell="A9" sqref="A9"/>
    </sheetView>
  </sheetViews>
  <sheetFormatPr defaultColWidth="10.85546875" defaultRowHeight="12.75"/>
  <cols>
    <col min="1" max="1" width="20.42578125" style="102" customWidth="1"/>
    <col min="2" max="2" width="16.5703125" style="108" bestFit="1" customWidth="1"/>
    <col min="3" max="3" width="29.85546875" style="102" bestFit="1" customWidth="1"/>
    <col min="4" max="4" width="8.28515625" style="102" customWidth="1"/>
    <col min="5" max="5" width="41.140625" style="102" bestFit="1" customWidth="1"/>
    <col min="6" max="6" width="10" style="102" bestFit="1" customWidth="1"/>
    <col min="7" max="7" width="20.85546875" style="102" bestFit="1" customWidth="1"/>
    <col min="8" max="16384" width="10.85546875" style="102"/>
  </cols>
  <sheetData>
    <row r="1" spans="1:8">
      <c r="A1" s="111" t="s">
        <v>4</v>
      </c>
      <c r="B1" s="112" t="s">
        <v>48</v>
      </c>
      <c r="C1" s="112" t="s">
        <v>49</v>
      </c>
      <c r="D1" s="112" t="s">
        <v>50</v>
      </c>
      <c r="E1" s="112" t="s">
        <v>51</v>
      </c>
      <c r="F1" s="112" t="s">
        <v>50</v>
      </c>
      <c r="G1" s="112" t="s">
        <v>52</v>
      </c>
      <c r="H1" s="128" t="s">
        <v>53</v>
      </c>
    </row>
    <row r="2" spans="1:8">
      <c r="A2" s="76" t="s">
        <v>11</v>
      </c>
      <c r="B2" s="65" t="s">
        <v>54</v>
      </c>
      <c r="C2" s="114" t="s">
        <v>754</v>
      </c>
      <c r="D2" s="153">
        <v>46314</v>
      </c>
      <c r="E2" s="138" t="s">
        <v>55</v>
      </c>
      <c r="F2" s="139"/>
      <c r="G2" s="63" t="s">
        <v>56</v>
      </c>
      <c r="H2" s="126" t="s">
        <v>57</v>
      </c>
    </row>
    <row r="3" spans="1:8">
      <c r="A3" s="76" t="s">
        <v>14</v>
      </c>
      <c r="B3" s="65" t="s">
        <v>54</v>
      </c>
      <c r="C3" s="114" t="s">
        <v>15</v>
      </c>
      <c r="D3" s="141">
        <v>46307</v>
      </c>
      <c r="E3" s="137" t="s">
        <v>58</v>
      </c>
      <c r="F3" s="142">
        <v>46301</v>
      </c>
      <c r="G3" s="63" t="s">
        <v>59</v>
      </c>
      <c r="H3" s="126" t="s">
        <v>57</v>
      </c>
    </row>
    <row r="4" spans="1:8">
      <c r="A4" s="76" t="s">
        <v>16</v>
      </c>
      <c r="B4" s="65" t="s">
        <v>60</v>
      </c>
      <c r="C4" s="114" t="s">
        <v>755</v>
      </c>
      <c r="D4" s="115"/>
      <c r="E4" s="137" t="s">
        <v>61</v>
      </c>
      <c r="F4" s="142">
        <v>46301</v>
      </c>
      <c r="G4" s="63" t="s">
        <v>59</v>
      </c>
      <c r="H4" s="126"/>
    </row>
    <row r="5" spans="1:8">
      <c r="A5" s="63" t="s">
        <v>27</v>
      </c>
      <c r="B5" s="66" t="s">
        <v>60</v>
      </c>
      <c r="C5" s="157" t="s">
        <v>757</v>
      </c>
      <c r="D5" s="116"/>
      <c r="E5" s="135" t="s">
        <v>55</v>
      </c>
      <c r="F5" s="135"/>
      <c r="G5" s="63"/>
      <c r="H5" s="126"/>
    </row>
    <row r="6" spans="1:8">
      <c r="A6" s="76" t="s">
        <v>18</v>
      </c>
      <c r="B6" s="65" t="s">
        <v>62</v>
      </c>
      <c r="C6" s="158" t="s">
        <v>733</v>
      </c>
      <c r="D6" s="142">
        <v>46326</v>
      </c>
      <c r="E6" s="137" t="s">
        <v>63</v>
      </c>
      <c r="F6" s="142">
        <v>46301</v>
      </c>
      <c r="G6" s="63" t="s">
        <v>64</v>
      </c>
      <c r="H6" s="126" t="s">
        <v>65</v>
      </c>
    </row>
    <row r="7" spans="1:8">
      <c r="A7" s="76" t="s">
        <v>20</v>
      </c>
      <c r="B7" s="65" t="s">
        <v>62</v>
      </c>
      <c r="C7" s="159" t="s">
        <v>66</v>
      </c>
      <c r="D7" s="146">
        <v>46302</v>
      </c>
      <c r="E7" s="137" t="s">
        <v>67</v>
      </c>
      <c r="F7" s="142">
        <v>46301</v>
      </c>
      <c r="G7" s="63" t="s">
        <v>59</v>
      </c>
      <c r="H7" s="126" t="s">
        <v>57</v>
      </c>
    </row>
    <row r="8" spans="1:8">
      <c r="A8" s="76" t="s">
        <v>22</v>
      </c>
      <c r="B8" s="65" t="s">
        <v>68</v>
      </c>
      <c r="C8" s="118" t="s">
        <v>69</v>
      </c>
      <c r="D8" s="143">
        <v>46301</v>
      </c>
      <c r="E8" s="117" t="s">
        <v>70</v>
      </c>
      <c r="F8" s="142">
        <v>46301</v>
      </c>
      <c r="G8" s="63" t="s">
        <v>71</v>
      </c>
      <c r="H8" s="126" t="s">
        <v>72</v>
      </c>
    </row>
    <row r="9" spans="1:8">
      <c r="A9" s="76" t="s">
        <v>25</v>
      </c>
      <c r="B9" s="65" t="s">
        <v>68</v>
      </c>
      <c r="C9" s="118" t="s">
        <v>756</v>
      </c>
      <c r="D9" s="155"/>
      <c r="E9" s="137" t="s">
        <v>73</v>
      </c>
      <c r="F9" s="142">
        <v>46301</v>
      </c>
      <c r="G9" s="63" t="s">
        <v>59</v>
      </c>
      <c r="H9" s="126" t="s">
        <v>57</v>
      </c>
    </row>
    <row r="10" spans="1:8">
      <c r="A10" s="76" t="s">
        <v>28</v>
      </c>
      <c r="B10" s="65" t="s">
        <v>74</v>
      </c>
      <c r="C10" s="118" t="s">
        <v>29</v>
      </c>
      <c r="D10" s="142">
        <v>46301</v>
      </c>
      <c r="E10" s="117" t="s">
        <v>75</v>
      </c>
      <c r="F10" s="143">
        <v>46301</v>
      </c>
      <c r="G10" s="63" t="s">
        <v>71</v>
      </c>
      <c r="H10" s="126" t="s">
        <v>72</v>
      </c>
    </row>
    <row r="11" spans="1:8">
      <c r="A11" s="76" t="s">
        <v>76</v>
      </c>
      <c r="B11" s="65" t="s">
        <v>74</v>
      </c>
      <c r="C11" s="118" t="s">
        <v>77</v>
      </c>
      <c r="D11" s="115"/>
      <c r="E11" s="118" t="s">
        <v>78</v>
      </c>
      <c r="F11" s="144">
        <v>46301</v>
      </c>
      <c r="G11" s="63" t="s">
        <v>59</v>
      </c>
      <c r="H11" s="126" t="s">
        <v>57</v>
      </c>
    </row>
    <row r="12" spans="1:8">
      <c r="A12" s="76" t="s">
        <v>79</v>
      </c>
      <c r="B12" s="65" t="s">
        <v>74</v>
      </c>
      <c r="C12" s="159" t="s">
        <v>80</v>
      </c>
      <c r="D12" s="142">
        <v>46302</v>
      </c>
      <c r="E12" s="118"/>
      <c r="F12" s="144"/>
      <c r="G12" s="63"/>
      <c r="H12" s="126"/>
    </row>
    <row r="13" spans="1:8">
      <c r="A13" s="76" t="s">
        <v>31</v>
      </c>
      <c r="B13" s="65"/>
      <c r="C13" s="113"/>
      <c r="D13" s="113"/>
      <c r="E13" s="63"/>
      <c r="F13" s="63"/>
      <c r="G13" s="63"/>
      <c r="H13" s="126"/>
    </row>
    <row r="14" spans="1:8">
      <c r="A14" s="119" t="s">
        <v>33</v>
      </c>
      <c r="B14" s="65" t="s">
        <v>74</v>
      </c>
      <c r="C14" s="120" t="s">
        <v>72</v>
      </c>
      <c r="D14" s="120"/>
      <c r="E14" s="117" t="s">
        <v>81</v>
      </c>
      <c r="F14" s="143">
        <v>46301</v>
      </c>
      <c r="G14" s="63" t="s">
        <v>59</v>
      </c>
      <c r="H14" s="126" t="s">
        <v>57</v>
      </c>
    </row>
    <row r="15" spans="1:8">
      <c r="A15" s="119" t="s">
        <v>82</v>
      </c>
      <c r="B15" s="65" t="s">
        <v>83</v>
      </c>
      <c r="C15" s="120" t="s">
        <v>72</v>
      </c>
      <c r="D15" s="120"/>
      <c r="E15" s="117" t="s">
        <v>84</v>
      </c>
      <c r="F15" s="142">
        <v>46301</v>
      </c>
      <c r="G15" s="63" t="s">
        <v>59</v>
      </c>
      <c r="H15" s="126" t="s">
        <v>72</v>
      </c>
    </row>
    <row r="16" spans="1:8">
      <c r="A16" s="119" t="s">
        <v>36</v>
      </c>
      <c r="B16" s="65" t="s">
        <v>83</v>
      </c>
      <c r="C16" s="136" t="s">
        <v>72</v>
      </c>
      <c r="D16" s="136"/>
      <c r="E16" s="138" t="s">
        <v>55</v>
      </c>
      <c r="F16" s="145"/>
      <c r="G16" s="63"/>
      <c r="H16" s="126"/>
    </row>
    <row r="17" spans="1:8">
      <c r="A17" s="119" t="s">
        <v>37</v>
      </c>
      <c r="B17" s="65" t="s">
        <v>85</v>
      </c>
      <c r="C17" s="140" t="s">
        <v>38</v>
      </c>
      <c r="D17" s="140"/>
      <c r="E17" s="127" t="s">
        <v>55</v>
      </c>
      <c r="F17" s="127"/>
      <c r="G17" s="63" t="s">
        <v>59</v>
      </c>
      <c r="H17" s="126" t="s">
        <v>65</v>
      </c>
    </row>
    <row r="18" spans="1:8" ht="36">
      <c r="A18" s="121" t="s">
        <v>39</v>
      </c>
      <c r="B18" s="65" t="s">
        <v>85</v>
      </c>
      <c r="C18" s="136" t="s">
        <v>72</v>
      </c>
      <c r="D18" s="154">
        <v>46301</v>
      </c>
      <c r="E18" s="156" t="s">
        <v>86</v>
      </c>
      <c r="F18" s="142">
        <v>46307</v>
      </c>
      <c r="G18" s="63" t="s">
        <v>57</v>
      </c>
      <c r="H18" s="126" t="s">
        <v>65</v>
      </c>
    </row>
    <row r="19" spans="1:8">
      <c r="A19" s="110" t="s">
        <v>87</v>
      </c>
      <c r="B19" s="152" t="s">
        <v>83</v>
      </c>
      <c r="C19" s="104"/>
      <c r="D19" s="104"/>
      <c r="E19" s="106" t="s">
        <v>88</v>
      </c>
      <c r="F19" s="106"/>
      <c r="G19" s="104"/>
      <c r="H19" s="104"/>
    </row>
    <row r="20" spans="1:8">
      <c r="A20" s="105" t="s">
        <v>89</v>
      </c>
      <c r="B20" s="152" t="s">
        <v>83</v>
      </c>
      <c r="C20" s="105"/>
      <c r="D20" s="105"/>
      <c r="E20" s="105" t="s">
        <v>90</v>
      </c>
      <c r="F20" s="105"/>
      <c r="G20" s="104"/>
      <c r="H20" s="104"/>
    </row>
    <row r="21" spans="1:8">
      <c r="A21" s="105"/>
      <c r="B21" s="103"/>
      <c r="C21" s="105"/>
      <c r="D21" s="105"/>
      <c r="E21" s="105"/>
      <c r="F21" s="105"/>
      <c r="G21" s="104"/>
      <c r="H21" s="104"/>
    </row>
    <row r="22" spans="1:8">
      <c r="A22" s="147" t="s">
        <v>91</v>
      </c>
      <c r="B22" s="148"/>
      <c r="C22" s="149"/>
      <c r="D22" s="149"/>
      <c r="E22" s="150" t="s">
        <v>92</v>
      </c>
      <c r="F22" s="107"/>
      <c r="G22" s="104"/>
      <c r="H22" s="104"/>
    </row>
    <row r="23" spans="1:8">
      <c r="A23" s="147" t="s">
        <v>93</v>
      </c>
      <c r="B23" s="148"/>
      <c r="C23" s="149"/>
      <c r="D23" s="149"/>
      <c r="E23" s="147" t="s">
        <v>94</v>
      </c>
      <c r="F23" s="106"/>
      <c r="G23" s="104"/>
      <c r="H23" s="104"/>
    </row>
    <row r="24" spans="1:8">
      <c r="A24" s="151" t="s">
        <v>95</v>
      </c>
      <c r="B24" s="151"/>
      <c r="C24" s="151"/>
      <c r="D24" s="151"/>
      <c r="E24" s="151" t="s">
        <v>96</v>
      </c>
      <c r="F24" s="105"/>
      <c r="G24" s="104"/>
      <c r="H24" s="104"/>
    </row>
    <row r="25" spans="1:8" ht="25.5">
      <c r="A25" s="151" t="s">
        <v>97</v>
      </c>
      <c r="B25" s="151"/>
      <c r="C25" s="151"/>
      <c r="D25" s="151"/>
      <c r="E25" s="151" t="s">
        <v>98</v>
      </c>
      <c r="F25" s="105"/>
      <c r="G25" s="104"/>
      <c r="H25" s="104"/>
    </row>
    <row r="26" spans="1:8">
      <c r="E26" s="109"/>
      <c r="F26" s="109"/>
    </row>
    <row r="27" spans="1:8">
      <c r="E27" s="109"/>
      <c r="F27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95AB-6EDF-4273-BD7B-F5DFEA90D23F}">
  <dimension ref="A1:L20"/>
  <sheetViews>
    <sheetView zoomScale="60" zoomScaleNormal="60" workbookViewId="0">
      <selection activeCell="B19" sqref="B19"/>
    </sheetView>
  </sheetViews>
  <sheetFormatPr defaultColWidth="8.7109375" defaultRowHeight="15"/>
  <cols>
    <col min="1" max="1" width="14" style="70" bestFit="1" customWidth="1"/>
    <col min="2" max="2" width="42.140625" style="70" bestFit="1" customWidth="1"/>
    <col min="3" max="3" width="31.85546875" style="70" bestFit="1" customWidth="1"/>
    <col min="4" max="4" width="11.5703125" style="70" bestFit="1" customWidth="1"/>
    <col min="5" max="9" width="8.7109375" style="70"/>
    <col min="10" max="10" width="13.5703125" style="70" bestFit="1" customWidth="1"/>
    <col min="11" max="11" width="17.85546875" style="70" customWidth="1"/>
    <col min="12" max="12" width="24.140625" style="70" customWidth="1"/>
    <col min="13" max="16384" width="8.7109375" style="70"/>
  </cols>
  <sheetData>
    <row r="1" spans="1:12" ht="15.75">
      <c r="A1" s="86" t="s">
        <v>99</v>
      </c>
      <c r="B1" s="87" t="s">
        <v>100</v>
      </c>
      <c r="C1" s="88" t="s">
        <v>101</v>
      </c>
      <c r="D1" s="70" t="s">
        <v>52</v>
      </c>
      <c r="J1" s="122" t="s">
        <v>99</v>
      </c>
      <c r="K1" s="122" t="s">
        <v>100</v>
      </c>
      <c r="L1" s="122" t="s">
        <v>101</v>
      </c>
    </row>
    <row r="2" spans="1:12" ht="15.75">
      <c r="A2" s="210" t="s">
        <v>14</v>
      </c>
      <c r="B2" s="89" t="s">
        <v>102</v>
      </c>
      <c r="C2" s="90" t="s">
        <v>103</v>
      </c>
      <c r="J2" s="209" t="s">
        <v>14</v>
      </c>
      <c r="K2" s="83"/>
      <c r="L2" s="83"/>
    </row>
    <row r="3" spans="1:12" ht="15.75">
      <c r="A3" s="203"/>
      <c r="B3" s="101" t="s">
        <v>104</v>
      </c>
      <c r="C3" s="92"/>
      <c r="J3" s="209"/>
      <c r="K3" s="83"/>
      <c r="L3" s="83"/>
    </row>
    <row r="4" spans="1:12" ht="15.75">
      <c r="A4" s="204"/>
      <c r="B4" s="93" t="s">
        <v>105</v>
      </c>
      <c r="C4" s="94"/>
      <c r="J4" s="209"/>
      <c r="K4" s="83"/>
      <c r="L4" s="83"/>
    </row>
    <row r="5" spans="1:12" ht="14.45" customHeight="1">
      <c r="A5" s="203" t="s">
        <v>11</v>
      </c>
      <c r="B5" s="95" t="s">
        <v>106</v>
      </c>
      <c r="C5" s="95" t="s">
        <v>107</v>
      </c>
      <c r="J5" s="209" t="s">
        <v>11</v>
      </c>
      <c r="K5" s="83"/>
      <c r="L5" s="83"/>
    </row>
    <row r="6" spans="1:12" ht="15.75">
      <c r="A6" s="203"/>
      <c r="B6" s="91" t="s">
        <v>108</v>
      </c>
      <c r="C6" s="91"/>
      <c r="J6" s="209"/>
      <c r="K6" s="83"/>
      <c r="L6" s="83"/>
    </row>
    <row r="7" spans="1:12" ht="31.5">
      <c r="A7" s="204"/>
      <c r="B7" s="96" t="s">
        <v>109</v>
      </c>
      <c r="C7" s="96"/>
      <c r="J7" s="209"/>
      <c r="K7" s="83"/>
      <c r="L7" s="83"/>
    </row>
    <row r="8" spans="1:12" ht="14.45" customHeight="1">
      <c r="A8" s="203" t="s">
        <v>16</v>
      </c>
      <c r="B8" s="95" t="s">
        <v>110</v>
      </c>
      <c r="C8" s="95" t="s">
        <v>111</v>
      </c>
      <c r="J8" s="209" t="s">
        <v>16</v>
      </c>
      <c r="K8" s="83"/>
      <c r="L8" s="83"/>
    </row>
    <row r="9" spans="1:12" ht="15.75">
      <c r="A9" s="203"/>
      <c r="B9" s="91" t="s">
        <v>112</v>
      </c>
      <c r="C9" s="91"/>
      <c r="J9" s="209"/>
      <c r="K9" s="83"/>
      <c r="L9" s="83"/>
    </row>
    <row r="10" spans="1:12" ht="15.75">
      <c r="A10" s="204"/>
      <c r="B10" s="93" t="s">
        <v>113</v>
      </c>
      <c r="C10" s="93"/>
      <c r="J10" s="209"/>
      <c r="K10" s="83"/>
      <c r="L10" s="83"/>
    </row>
    <row r="11" spans="1:12" ht="14.45" customHeight="1">
      <c r="A11" s="203" t="s">
        <v>114</v>
      </c>
      <c r="B11" s="95" t="s">
        <v>115</v>
      </c>
      <c r="C11" s="207" t="s">
        <v>116</v>
      </c>
      <c r="J11" s="209" t="s">
        <v>114</v>
      </c>
      <c r="K11" s="83"/>
      <c r="L11" s="83"/>
    </row>
    <row r="12" spans="1:12" ht="15.75">
      <c r="A12" s="203"/>
      <c r="B12" s="95" t="s">
        <v>117</v>
      </c>
      <c r="C12" s="207"/>
      <c r="J12" s="209"/>
      <c r="K12" s="83"/>
      <c r="L12" s="83"/>
    </row>
    <row r="13" spans="1:12" ht="15.75">
      <c r="A13" s="204"/>
      <c r="B13" s="97" t="s">
        <v>118</v>
      </c>
      <c r="C13" s="208"/>
      <c r="J13" s="209"/>
      <c r="K13" s="83"/>
      <c r="L13" s="83"/>
    </row>
    <row r="14" spans="1:12" ht="14.45" customHeight="1">
      <c r="A14" s="203" t="s">
        <v>119</v>
      </c>
      <c r="B14" s="95" t="s">
        <v>120</v>
      </c>
      <c r="C14" s="205" t="s">
        <v>121</v>
      </c>
      <c r="J14" s="209" t="s">
        <v>119</v>
      </c>
      <c r="K14" s="83"/>
      <c r="L14" s="83"/>
    </row>
    <row r="15" spans="1:12" ht="15.75">
      <c r="A15" s="204"/>
      <c r="B15" s="97" t="s">
        <v>122</v>
      </c>
      <c r="C15" s="206"/>
      <c r="J15" s="209"/>
      <c r="K15" s="83"/>
      <c r="L15" s="83"/>
    </row>
    <row r="16" spans="1:12" ht="15.75">
      <c r="A16" s="98" t="s">
        <v>123</v>
      </c>
      <c r="B16" s="93" t="s">
        <v>116</v>
      </c>
      <c r="C16" s="99" t="s">
        <v>124</v>
      </c>
      <c r="J16" s="122" t="s">
        <v>123</v>
      </c>
      <c r="K16" s="83"/>
      <c r="L16" s="83"/>
    </row>
    <row r="17" spans="1:12" ht="14.45" customHeight="1">
      <c r="A17" s="203" t="s">
        <v>18</v>
      </c>
      <c r="B17" s="95" t="s">
        <v>125</v>
      </c>
      <c r="C17" s="207" t="s">
        <v>116</v>
      </c>
      <c r="J17" s="209" t="s">
        <v>18</v>
      </c>
      <c r="K17" s="83"/>
      <c r="L17" s="83"/>
    </row>
    <row r="18" spans="1:12" ht="15.75">
      <c r="A18" s="204"/>
      <c r="B18" s="97" t="s">
        <v>126</v>
      </c>
      <c r="C18" s="208"/>
      <c r="J18" s="209"/>
      <c r="K18" s="83"/>
      <c r="L18" s="83"/>
    </row>
    <row r="19" spans="1:12" ht="15.75">
      <c r="A19" s="98" t="s">
        <v>127</v>
      </c>
      <c r="B19" s="97" t="s">
        <v>128</v>
      </c>
      <c r="C19" s="100" t="s">
        <v>116</v>
      </c>
      <c r="J19" s="122" t="s">
        <v>127</v>
      </c>
      <c r="K19" s="83"/>
      <c r="L19" s="83"/>
    </row>
    <row r="20" spans="1:12">
      <c r="A20" s="70" t="s">
        <v>37</v>
      </c>
      <c r="B20" s="70" t="s">
        <v>38</v>
      </c>
      <c r="C20" s="70" t="s">
        <v>129</v>
      </c>
      <c r="J20" s="83" t="s">
        <v>37</v>
      </c>
      <c r="K20" s="83"/>
      <c r="L20" s="83"/>
    </row>
  </sheetData>
  <mergeCells count="15">
    <mergeCell ref="A14:A15"/>
    <mergeCell ref="C14:C15"/>
    <mergeCell ref="A17:A18"/>
    <mergeCell ref="C17:C18"/>
    <mergeCell ref="J2:J4"/>
    <mergeCell ref="J5:J7"/>
    <mergeCell ref="J8:J10"/>
    <mergeCell ref="J11:J13"/>
    <mergeCell ref="J14:J15"/>
    <mergeCell ref="J17:J18"/>
    <mergeCell ref="A2:A4"/>
    <mergeCell ref="A5:A7"/>
    <mergeCell ref="A8:A10"/>
    <mergeCell ref="A11:A13"/>
    <mergeCell ref="C11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652E-0189-FB4A-BA35-71B4E7B5E28C}">
  <dimension ref="A1:G34"/>
  <sheetViews>
    <sheetView topLeftCell="A11" zoomScale="145" zoomScaleNormal="145" workbookViewId="0">
      <selection activeCell="D25" sqref="D25:D27"/>
    </sheetView>
  </sheetViews>
  <sheetFormatPr defaultColWidth="10.85546875" defaultRowHeight="15"/>
  <cols>
    <col min="1" max="1" width="28.42578125" bestFit="1" customWidth="1"/>
    <col min="2" max="2" width="17.5703125" bestFit="1" customWidth="1"/>
    <col min="3" max="3" width="17" bestFit="1" customWidth="1"/>
    <col min="4" max="4" width="18.7109375" bestFit="1" customWidth="1"/>
    <col min="5" max="5" width="13.28515625" bestFit="1" customWidth="1"/>
    <col min="6" max="6" width="22.5703125" bestFit="1" customWidth="1"/>
    <col min="7" max="7" width="10.5703125" bestFit="1" customWidth="1"/>
  </cols>
  <sheetData>
    <row r="1" spans="1:7">
      <c r="A1" s="79" t="s">
        <v>48</v>
      </c>
      <c r="B1" s="79" t="s">
        <v>4</v>
      </c>
      <c r="C1" s="79" t="s">
        <v>130</v>
      </c>
      <c r="D1" s="79" t="s">
        <v>131</v>
      </c>
      <c r="E1" s="79" t="s">
        <v>132</v>
      </c>
      <c r="F1" s="79" t="s">
        <v>133</v>
      </c>
      <c r="G1" s="79" t="s">
        <v>134</v>
      </c>
    </row>
    <row r="2" spans="1:7">
      <c r="A2" s="53" t="s">
        <v>135</v>
      </c>
      <c r="B2" s="53" t="s">
        <v>136</v>
      </c>
      <c r="C2" s="53" t="s">
        <v>100</v>
      </c>
      <c r="D2" s="53" t="s">
        <v>137</v>
      </c>
      <c r="E2" s="80">
        <v>46288</v>
      </c>
      <c r="F2" s="53" t="s">
        <v>138</v>
      </c>
      <c r="G2" s="53" t="s">
        <v>139</v>
      </c>
    </row>
    <row r="3" spans="1:7">
      <c r="A3" s="53" t="s">
        <v>140</v>
      </c>
      <c r="B3" s="53" t="s">
        <v>141</v>
      </c>
      <c r="C3" s="53" t="s">
        <v>100</v>
      </c>
      <c r="D3" s="53" t="s">
        <v>110</v>
      </c>
      <c r="E3" s="80">
        <v>46293</v>
      </c>
      <c r="F3" s="53" t="s">
        <v>138</v>
      </c>
      <c r="G3" s="53" t="s">
        <v>142</v>
      </c>
    </row>
    <row r="4" spans="1:7">
      <c r="A4" s="53" t="s">
        <v>143</v>
      </c>
      <c r="B4" s="53" t="s">
        <v>144</v>
      </c>
      <c r="C4" s="53" t="s">
        <v>100</v>
      </c>
      <c r="D4" s="53" t="s">
        <v>137</v>
      </c>
      <c r="E4" s="80">
        <v>46293</v>
      </c>
      <c r="F4" s="53" t="s">
        <v>138</v>
      </c>
      <c r="G4" s="53" t="s">
        <v>142</v>
      </c>
    </row>
    <row r="5" spans="1:7">
      <c r="A5" s="53" t="s">
        <v>143</v>
      </c>
      <c r="B5" s="53" t="s">
        <v>144</v>
      </c>
      <c r="C5" s="53" t="s">
        <v>101</v>
      </c>
      <c r="D5" s="53" t="s">
        <v>145</v>
      </c>
      <c r="E5" s="80">
        <v>46293</v>
      </c>
      <c r="F5" s="53" t="s">
        <v>138</v>
      </c>
      <c r="G5" s="53" t="s">
        <v>146</v>
      </c>
    </row>
    <row r="6" spans="1:7">
      <c r="A6" s="53" t="s">
        <v>143</v>
      </c>
      <c r="B6" s="53" t="s">
        <v>147</v>
      </c>
      <c r="C6" s="53" t="s">
        <v>101</v>
      </c>
      <c r="D6" s="53" t="s">
        <v>148</v>
      </c>
      <c r="E6" s="80">
        <v>46293</v>
      </c>
      <c r="F6" s="53" t="s">
        <v>138</v>
      </c>
      <c r="G6" s="53" t="s">
        <v>146</v>
      </c>
    </row>
    <row r="7" spans="1:7">
      <c r="A7" s="53" t="s">
        <v>135</v>
      </c>
      <c r="B7" s="53" t="s">
        <v>136</v>
      </c>
      <c r="C7" s="53" t="s">
        <v>100</v>
      </c>
      <c r="D7" s="53" t="s">
        <v>149</v>
      </c>
      <c r="E7" s="80">
        <v>46293</v>
      </c>
      <c r="F7" s="53" t="s">
        <v>138</v>
      </c>
      <c r="G7" s="53" t="s">
        <v>142</v>
      </c>
    </row>
    <row r="8" spans="1:7">
      <c r="A8" s="53" t="s">
        <v>62</v>
      </c>
      <c r="B8" s="53" t="s">
        <v>18</v>
      </c>
      <c r="C8" s="53" t="s">
        <v>100</v>
      </c>
      <c r="D8" s="53" t="s">
        <v>47</v>
      </c>
      <c r="E8" s="80">
        <v>46293</v>
      </c>
      <c r="F8" s="53" t="s">
        <v>138</v>
      </c>
      <c r="G8" s="53" t="s">
        <v>142</v>
      </c>
    </row>
    <row r="9" spans="1:7">
      <c r="A9" s="53" t="s">
        <v>150</v>
      </c>
      <c r="B9" s="53" t="s">
        <v>151</v>
      </c>
      <c r="C9" s="53" t="s">
        <v>100</v>
      </c>
      <c r="D9" s="53" t="s">
        <v>152</v>
      </c>
      <c r="E9" s="80">
        <v>46294</v>
      </c>
      <c r="F9" s="53" t="s">
        <v>138</v>
      </c>
      <c r="G9" s="53" t="s">
        <v>146</v>
      </c>
    </row>
    <row r="10" spans="1:7">
      <c r="A10" s="53" t="s">
        <v>150</v>
      </c>
      <c r="B10" s="53" t="s">
        <v>153</v>
      </c>
      <c r="C10" s="53" t="s">
        <v>100</v>
      </c>
      <c r="D10" s="53" t="s">
        <v>154</v>
      </c>
      <c r="E10" s="80">
        <v>46295</v>
      </c>
      <c r="F10" s="53" t="s">
        <v>138</v>
      </c>
      <c r="G10" s="53" t="s">
        <v>146</v>
      </c>
    </row>
    <row r="11" spans="1:7">
      <c r="A11" s="53" t="s">
        <v>143</v>
      </c>
      <c r="B11" s="53" t="s">
        <v>144</v>
      </c>
      <c r="C11" s="53" t="s">
        <v>100</v>
      </c>
      <c r="D11" s="53" t="s">
        <v>80</v>
      </c>
      <c r="E11" s="80">
        <v>46295</v>
      </c>
      <c r="F11" s="53" t="s">
        <v>138</v>
      </c>
      <c r="G11" s="53" t="s">
        <v>142</v>
      </c>
    </row>
    <row r="12" spans="1:7">
      <c r="A12" s="53" t="s">
        <v>85</v>
      </c>
      <c r="B12" s="53" t="s">
        <v>155</v>
      </c>
      <c r="C12" s="53" t="s">
        <v>100</v>
      </c>
      <c r="D12" s="53" t="s">
        <v>156</v>
      </c>
      <c r="E12" s="80">
        <v>46296</v>
      </c>
      <c r="F12" s="53" t="s">
        <v>138</v>
      </c>
      <c r="G12" s="53" t="s">
        <v>142</v>
      </c>
    </row>
    <row r="13" spans="1:7">
      <c r="A13" s="53" t="s">
        <v>140</v>
      </c>
      <c r="B13" s="53" t="s">
        <v>141</v>
      </c>
      <c r="C13" s="53" t="s">
        <v>101</v>
      </c>
      <c r="D13" s="53" t="s">
        <v>157</v>
      </c>
      <c r="E13" s="80">
        <v>46297</v>
      </c>
      <c r="F13" s="53" t="s">
        <v>138</v>
      </c>
      <c r="G13" s="53" t="s">
        <v>142</v>
      </c>
    </row>
    <row r="14" spans="1:7">
      <c r="A14" s="53" t="s">
        <v>140</v>
      </c>
      <c r="B14" s="53" t="s">
        <v>141</v>
      </c>
      <c r="C14" s="53" t="s">
        <v>101</v>
      </c>
      <c r="D14" s="53" t="s">
        <v>158</v>
      </c>
      <c r="E14" s="80">
        <v>46297</v>
      </c>
      <c r="F14" s="53" t="s">
        <v>138</v>
      </c>
      <c r="G14" s="53" t="s">
        <v>146</v>
      </c>
    </row>
    <row r="15" spans="1:7">
      <c r="A15" s="53" t="s">
        <v>140</v>
      </c>
      <c r="B15" s="53" t="s">
        <v>141</v>
      </c>
      <c r="C15" s="53" t="s">
        <v>100</v>
      </c>
      <c r="D15" s="53" t="s">
        <v>159</v>
      </c>
      <c r="E15" s="80">
        <v>46297</v>
      </c>
      <c r="F15" s="53" t="s">
        <v>138</v>
      </c>
      <c r="G15" s="53" t="s">
        <v>142</v>
      </c>
    </row>
    <row r="16" spans="1:7">
      <c r="A16" s="53" t="s">
        <v>62</v>
      </c>
      <c r="B16" s="53" t="s">
        <v>18</v>
      </c>
      <c r="C16" s="53" t="s">
        <v>100</v>
      </c>
      <c r="D16" s="53" t="s">
        <v>160</v>
      </c>
      <c r="E16" s="80">
        <v>46297</v>
      </c>
      <c r="F16" s="53" t="s">
        <v>138</v>
      </c>
      <c r="G16" s="53" t="s">
        <v>146</v>
      </c>
    </row>
    <row r="17" spans="1:7">
      <c r="A17" s="53" t="s">
        <v>85</v>
      </c>
      <c r="B17" s="53" t="s">
        <v>161</v>
      </c>
      <c r="C17" s="53" t="s">
        <v>101</v>
      </c>
      <c r="D17" s="53" t="s">
        <v>162</v>
      </c>
      <c r="E17" s="80">
        <v>46300</v>
      </c>
      <c r="F17" s="53" t="s">
        <v>138</v>
      </c>
      <c r="G17" s="53" t="s">
        <v>142</v>
      </c>
    </row>
    <row r="18" spans="1:7">
      <c r="A18" s="129" t="s">
        <v>85</v>
      </c>
      <c r="B18" s="129" t="s">
        <v>161</v>
      </c>
      <c r="C18" s="129" t="s">
        <v>101</v>
      </c>
      <c r="D18" s="129" t="s">
        <v>163</v>
      </c>
      <c r="E18" s="130">
        <v>46300</v>
      </c>
      <c r="F18" s="129" t="s">
        <v>138</v>
      </c>
      <c r="G18" s="129" t="s">
        <v>146</v>
      </c>
    </row>
    <row r="19" spans="1:7">
      <c r="A19" s="131" t="s">
        <v>135</v>
      </c>
      <c r="B19" s="131" t="s">
        <v>164</v>
      </c>
      <c r="C19" s="131" t="s">
        <v>100</v>
      </c>
      <c r="D19" s="131" t="s">
        <v>159</v>
      </c>
      <c r="E19" s="132">
        <v>46300</v>
      </c>
      <c r="F19" s="131" t="s">
        <v>138</v>
      </c>
      <c r="G19" s="131" t="s">
        <v>142</v>
      </c>
    </row>
    <row r="20" spans="1:7">
      <c r="A20" s="133" t="s">
        <v>135</v>
      </c>
      <c r="B20" s="133" t="s">
        <v>164</v>
      </c>
      <c r="C20" s="133" t="s">
        <v>100</v>
      </c>
      <c r="D20" s="133" t="s">
        <v>80</v>
      </c>
      <c r="E20" s="134">
        <v>46300</v>
      </c>
      <c r="F20" s="133" t="s">
        <v>138</v>
      </c>
      <c r="G20" s="133" t="s">
        <v>142</v>
      </c>
    </row>
    <row r="21" spans="1:7">
      <c r="A21" s="133" t="s">
        <v>62</v>
      </c>
      <c r="B21" s="133" t="s">
        <v>18</v>
      </c>
      <c r="C21" s="133" t="s">
        <v>101</v>
      </c>
      <c r="D21" s="133" t="s">
        <v>165</v>
      </c>
      <c r="E21" s="134">
        <v>46300</v>
      </c>
      <c r="F21" s="133" t="s">
        <v>138</v>
      </c>
      <c r="G21" s="133" t="s">
        <v>146</v>
      </c>
    </row>
    <row r="22" spans="1:7">
      <c r="A22" s="131" t="s">
        <v>150</v>
      </c>
      <c r="B22" s="131" t="s">
        <v>151</v>
      </c>
      <c r="C22" s="131" t="s">
        <v>101</v>
      </c>
      <c r="D22" s="131" t="s">
        <v>166</v>
      </c>
      <c r="E22" s="132">
        <v>46301</v>
      </c>
      <c r="F22" s="133" t="s">
        <v>138</v>
      </c>
      <c r="G22" s="133" t="s">
        <v>142</v>
      </c>
    </row>
    <row r="23" spans="1:7">
      <c r="A23" s="131" t="s">
        <v>150</v>
      </c>
      <c r="B23" s="131" t="s">
        <v>153</v>
      </c>
      <c r="C23" s="131" t="s">
        <v>101</v>
      </c>
      <c r="D23" s="131" t="s">
        <v>167</v>
      </c>
      <c r="E23" s="132">
        <v>46301</v>
      </c>
      <c r="F23" s="133" t="s">
        <v>138</v>
      </c>
      <c r="G23" s="131" t="s">
        <v>146</v>
      </c>
    </row>
    <row r="24" spans="1:7">
      <c r="A24" s="133" t="s">
        <v>168</v>
      </c>
      <c r="B24" s="133" t="s">
        <v>169</v>
      </c>
      <c r="C24" s="133" t="s">
        <v>101</v>
      </c>
      <c r="D24" s="133" t="s">
        <v>170</v>
      </c>
      <c r="E24" s="134">
        <v>46301</v>
      </c>
      <c r="F24" s="133" t="s">
        <v>138</v>
      </c>
      <c r="G24" s="131" t="s">
        <v>146</v>
      </c>
    </row>
    <row r="25" spans="1:7">
      <c r="A25" s="131" t="s">
        <v>168</v>
      </c>
      <c r="B25" s="131" t="s">
        <v>171</v>
      </c>
      <c r="C25" s="131" t="s">
        <v>101</v>
      </c>
      <c r="D25" s="131" t="s">
        <v>172</v>
      </c>
      <c r="E25" s="132">
        <v>46301</v>
      </c>
      <c r="F25" s="133" t="s">
        <v>138</v>
      </c>
      <c r="G25" s="131" t="s">
        <v>146</v>
      </c>
    </row>
    <row r="26" spans="1:7">
      <c r="A26" s="131" t="s">
        <v>168</v>
      </c>
      <c r="B26" s="131" t="s">
        <v>171</v>
      </c>
      <c r="C26" s="131" t="s">
        <v>101</v>
      </c>
      <c r="D26" s="131" t="s">
        <v>173</v>
      </c>
      <c r="E26" s="132">
        <v>46301</v>
      </c>
      <c r="F26" s="133" t="s">
        <v>138</v>
      </c>
      <c r="G26" s="131" t="s">
        <v>146</v>
      </c>
    </row>
    <row r="27" spans="1:7">
      <c r="A27" s="131" t="s">
        <v>168</v>
      </c>
      <c r="B27" s="131" t="s">
        <v>171</v>
      </c>
      <c r="C27" s="131" t="s">
        <v>101</v>
      </c>
      <c r="D27" s="131" t="s">
        <v>162</v>
      </c>
      <c r="E27" s="132">
        <v>46301</v>
      </c>
      <c r="F27" s="133" t="s">
        <v>138</v>
      </c>
      <c r="G27" s="131" t="s">
        <v>146</v>
      </c>
    </row>
    <row r="28" spans="1:7">
      <c r="A28" s="131" t="s">
        <v>140</v>
      </c>
      <c r="B28" s="131" t="s">
        <v>174</v>
      </c>
      <c r="C28" s="131" t="s">
        <v>100</v>
      </c>
      <c r="D28" s="131" t="s">
        <v>175</v>
      </c>
      <c r="E28" s="132">
        <v>46301</v>
      </c>
      <c r="F28" s="133" t="s">
        <v>138</v>
      </c>
      <c r="G28" s="131" t="s">
        <v>142</v>
      </c>
    </row>
    <row r="29" spans="1:7">
      <c r="A29" s="131" t="s">
        <v>62</v>
      </c>
      <c r="B29" s="131" t="s">
        <v>176</v>
      </c>
      <c r="C29" s="131" t="s">
        <v>101</v>
      </c>
      <c r="D29" s="131" t="s">
        <v>63</v>
      </c>
      <c r="E29" s="132">
        <v>46301</v>
      </c>
      <c r="F29" s="133" t="s">
        <v>138</v>
      </c>
      <c r="G29" s="131" t="s">
        <v>146</v>
      </c>
    </row>
    <row r="30" spans="1:7">
      <c r="A30" s="129" t="s">
        <v>85</v>
      </c>
      <c r="B30" s="129" t="s">
        <v>161</v>
      </c>
      <c r="C30" s="129" t="s">
        <v>101</v>
      </c>
      <c r="D30" s="129" t="s">
        <v>177</v>
      </c>
      <c r="E30" s="130">
        <v>46302</v>
      </c>
      <c r="F30" s="133" t="s">
        <v>138</v>
      </c>
      <c r="G30" s="133" t="s">
        <v>146</v>
      </c>
    </row>
    <row r="31" spans="1:7">
      <c r="A31" s="53" t="s">
        <v>135</v>
      </c>
      <c r="B31" s="53" t="s">
        <v>164</v>
      </c>
      <c r="C31" s="53" t="s">
        <v>100</v>
      </c>
      <c r="D31" s="53" t="s">
        <v>80</v>
      </c>
      <c r="E31" s="80">
        <v>46303</v>
      </c>
      <c r="F31" s="53" t="s">
        <v>138</v>
      </c>
      <c r="G31" s="53" t="s">
        <v>146</v>
      </c>
    </row>
    <row r="32" spans="1:7">
      <c r="A32" s="169" t="s">
        <v>150</v>
      </c>
      <c r="B32" s="53" t="s">
        <v>178</v>
      </c>
      <c r="C32" s="53" t="s">
        <v>101</v>
      </c>
      <c r="D32" s="53" t="s">
        <v>179</v>
      </c>
      <c r="E32" s="80">
        <v>46301</v>
      </c>
      <c r="F32" s="53" t="s">
        <v>138</v>
      </c>
      <c r="G32" s="53" t="s">
        <v>146</v>
      </c>
    </row>
    <row r="33" spans="1:7">
      <c r="A33" s="169" t="s">
        <v>140</v>
      </c>
      <c r="B33" s="53" t="s">
        <v>180</v>
      </c>
      <c r="C33" s="53" t="s">
        <v>101</v>
      </c>
      <c r="D33" s="53" t="s">
        <v>181</v>
      </c>
      <c r="E33" s="53"/>
      <c r="F33" s="53" t="s">
        <v>138</v>
      </c>
      <c r="G33" s="53" t="s">
        <v>146</v>
      </c>
    </row>
    <row r="34" spans="1:7">
      <c r="A34" s="169" t="s">
        <v>150</v>
      </c>
      <c r="B34" s="53" t="s">
        <v>182</v>
      </c>
      <c r="C34" s="53" t="s">
        <v>101</v>
      </c>
      <c r="D34" s="169" t="s">
        <v>183</v>
      </c>
      <c r="E34" s="130">
        <v>46302</v>
      </c>
      <c r="F34" s="53" t="s">
        <v>138</v>
      </c>
      <c r="G34" s="53" t="s">
        <v>146</v>
      </c>
    </row>
  </sheetData>
  <autoFilter ref="A1:G34" xr:uid="{D87A652E-0189-FB4A-BA35-71B4E7B5E28C}"/>
  <sortState xmlns:xlrd2="http://schemas.microsoft.com/office/spreadsheetml/2017/richdata2" ref="A1:G30">
    <sortCondition ref="E2:E3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="90" zoomScaleNormal="90" workbookViewId="0">
      <selection activeCell="B4" sqref="B4:C4"/>
    </sheetView>
  </sheetViews>
  <sheetFormatPr defaultColWidth="8.85546875" defaultRowHeight="15"/>
  <cols>
    <col min="1" max="1" width="26" customWidth="1"/>
    <col min="2" max="2" width="20" customWidth="1"/>
    <col min="3" max="4" width="22" customWidth="1"/>
    <col min="5" max="6" width="16" customWidth="1"/>
  </cols>
  <sheetData>
    <row r="1" spans="1:6" ht="26.1" customHeight="1">
      <c r="A1" s="200" t="s">
        <v>377</v>
      </c>
      <c r="B1" s="201"/>
      <c r="C1" s="201"/>
      <c r="D1" s="201"/>
      <c r="E1" s="201"/>
      <c r="F1" s="201"/>
    </row>
    <row r="2" spans="1:6" ht="20.100000000000001" customHeight="1">
      <c r="A2" s="214" t="s">
        <v>378</v>
      </c>
      <c r="B2" s="201"/>
      <c r="C2" s="201"/>
      <c r="D2" s="201"/>
      <c r="E2" s="201"/>
      <c r="F2" s="201"/>
    </row>
    <row r="3" spans="1:6">
      <c r="A3" s="1" t="s">
        <v>379</v>
      </c>
      <c r="B3" s="213" t="s">
        <v>380</v>
      </c>
      <c r="C3" s="213"/>
      <c r="D3" s="213" t="s">
        <v>381</v>
      </c>
      <c r="E3" s="213"/>
      <c r="F3" s="213"/>
    </row>
    <row r="4" spans="1:6" ht="30" customHeight="1">
      <c r="A4" s="2" t="s">
        <v>382</v>
      </c>
      <c r="B4" s="212" t="s">
        <v>383</v>
      </c>
      <c r="C4" s="212"/>
      <c r="D4" s="212" t="s">
        <v>384</v>
      </c>
      <c r="E4" s="212"/>
      <c r="F4" s="212"/>
    </row>
    <row r="5" spans="1:6" ht="30" customHeight="1">
      <c r="A5" s="2" t="s">
        <v>385</v>
      </c>
      <c r="B5" s="212" t="s">
        <v>386</v>
      </c>
      <c r="C5" s="212"/>
      <c r="D5" s="212" t="s">
        <v>387</v>
      </c>
      <c r="E5" s="212"/>
      <c r="F5" s="212"/>
    </row>
    <row r="6" spans="1:6" ht="30" customHeight="1">
      <c r="A6" s="2" t="s">
        <v>388</v>
      </c>
      <c r="B6" s="212" t="s">
        <v>389</v>
      </c>
      <c r="C6" s="212"/>
      <c r="D6" s="212" t="s">
        <v>390</v>
      </c>
      <c r="E6" s="212"/>
      <c r="F6" s="212"/>
    </row>
    <row r="7" spans="1:6" ht="30" customHeight="1">
      <c r="A7" s="2" t="s">
        <v>391</v>
      </c>
      <c r="B7" s="212" t="s">
        <v>392</v>
      </c>
      <c r="C7" s="212"/>
      <c r="D7" s="212" t="s">
        <v>393</v>
      </c>
      <c r="E7" s="212"/>
      <c r="F7" s="212"/>
    </row>
    <row r="8" spans="1:6" ht="30" customHeight="1">
      <c r="A8" s="2" t="s">
        <v>394</v>
      </c>
      <c r="B8" s="212" t="s">
        <v>395</v>
      </c>
      <c r="C8" s="212"/>
      <c r="D8" s="212" t="s">
        <v>396</v>
      </c>
      <c r="E8" s="212"/>
      <c r="F8" s="212"/>
    </row>
    <row r="9" spans="1:6" ht="30" customHeight="1">
      <c r="A9" s="2" t="s">
        <v>397</v>
      </c>
      <c r="B9" s="212" t="s">
        <v>398</v>
      </c>
      <c r="C9" s="212"/>
      <c r="D9" s="212" t="s">
        <v>399</v>
      </c>
      <c r="E9" s="212"/>
      <c r="F9" s="212"/>
    </row>
    <row r="11" spans="1:6" ht="20.100000000000001" customHeight="1">
      <c r="A11" s="214" t="s">
        <v>400</v>
      </c>
      <c r="B11" s="201"/>
      <c r="C11" s="201"/>
      <c r="D11" s="201"/>
      <c r="E11" s="201"/>
      <c r="F11" s="201"/>
    </row>
    <row r="12" spans="1:6" ht="40.5">
      <c r="A12" s="1" t="s">
        <v>401</v>
      </c>
      <c r="B12" s="1" t="s">
        <v>402</v>
      </c>
      <c r="C12" s="213" t="s">
        <v>403</v>
      </c>
      <c r="D12" s="213"/>
      <c r="E12" s="213"/>
      <c r="F12" s="213"/>
    </row>
    <row r="13" spans="1:6" ht="27.95" customHeight="1">
      <c r="A13" s="2" t="s">
        <v>404</v>
      </c>
      <c r="B13" s="18"/>
      <c r="C13" s="211" t="s">
        <v>405</v>
      </c>
      <c r="D13" s="211"/>
      <c r="E13" s="211"/>
      <c r="F13" s="211"/>
    </row>
    <row r="14" spans="1:6" ht="27.95" customHeight="1">
      <c r="A14" s="2" t="s">
        <v>406</v>
      </c>
      <c r="B14" s="18"/>
      <c r="C14" s="211" t="s">
        <v>407</v>
      </c>
      <c r="D14" s="211"/>
      <c r="E14" s="211"/>
      <c r="F14" s="211"/>
    </row>
    <row r="15" spans="1:6" ht="27.95" customHeight="1">
      <c r="A15" s="2" t="s">
        <v>408</v>
      </c>
      <c r="B15" s="18"/>
      <c r="C15" s="211" t="s">
        <v>409</v>
      </c>
      <c r="D15" s="211"/>
      <c r="E15" s="211"/>
      <c r="F15" s="211"/>
    </row>
    <row r="16" spans="1:6" ht="27.95" customHeight="1">
      <c r="A16" s="2" t="s">
        <v>410</v>
      </c>
      <c r="B16" s="18"/>
      <c r="C16" s="211" t="s">
        <v>411</v>
      </c>
      <c r="D16" s="211"/>
      <c r="E16" s="211"/>
      <c r="F16" s="211"/>
    </row>
    <row r="17" spans="1:6" ht="27.95" customHeight="1">
      <c r="A17" s="2" t="s">
        <v>412</v>
      </c>
      <c r="B17" s="18"/>
      <c r="C17" s="211" t="s">
        <v>413</v>
      </c>
      <c r="D17" s="211"/>
      <c r="E17" s="211"/>
      <c r="F17" s="211"/>
    </row>
  </sheetData>
  <mergeCells count="23">
    <mergeCell ref="A1:F1"/>
    <mergeCell ref="D4:F4"/>
    <mergeCell ref="D3:F3"/>
    <mergeCell ref="A11:F11"/>
    <mergeCell ref="B8:C8"/>
    <mergeCell ref="B7:C7"/>
    <mergeCell ref="D8:F8"/>
    <mergeCell ref="A2:F2"/>
    <mergeCell ref="D6:F6"/>
    <mergeCell ref="B6:C6"/>
    <mergeCell ref="B4:C4"/>
    <mergeCell ref="B3:C3"/>
    <mergeCell ref="C15:F15"/>
    <mergeCell ref="B5:C5"/>
    <mergeCell ref="D5:F5"/>
    <mergeCell ref="C17:F17"/>
    <mergeCell ref="B9:C9"/>
    <mergeCell ref="D7:F7"/>
    <mergeCell ref="C13:F13"/>
    <mergeCell ref="C14:F14"/>
    <mergeCell ref="C16:F16"/>
    <mergeCell ref="C12:F12"/>
    <mergeCell ref="D9:F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7"/>
  <sheetViews>
    <sheetView zoomScale="130" zoomScaleNormal="130" workbookViewId="0">
      <pane ySplit="2" topLeftCell="A40" activePane="bottomLeft" state="frozen"/>
      <selection pane="bottomLeft" activeCell="D40" sqref="D40"/>
    </sheetView>
  </sheetViews>
  <sheetFormatPr defaultColWidth="8.85546875" defaultRowHeight="15"/>
  <cols>
    <col min="1" max="1" width="12" customWidth="1"/>
    <col min="2" max="2" width="4" customWidth="1"/>
    <col min="3" max="3" width="42" customWidth="1"/>
    <col min="4" max="4" width="8" customWidth="1"/>
    <col min="5" max="6" width="16" customWidth="1"/>
    <col min="7" max="8" width="12" customWidth="1"/>
    <col min="9" max="9" width="10" customWidth="1"/>
    <col min="10" max="10" width="11" customWidth="1"/>
    <col min="11" max="11" width="13" customWidth="1"/>
    <col min="12" max="12" width="22" customWidth="1"/>
  </cols>
  <sheetData>
    <row r="1" spans="1:12" ht="26.1" customHeight="1">
      <c r="A1" s="200" t="s">
        <v>429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27">
      <c r="A2" s="1" t="s">
        <v>430</v>
      </c>
      <c r="B2" s="1" t="s">
        <v>415</v>
      </c>
      <c r="C2" s="1" t="s">
        <v>431</v>
      </c>
      <c r="D2" s="1" t="s">
        <v>432</v>
      </c>
      <c r="E2" s="1" t="s">
        <v>433</v>
      </c>
      <c r="F2" s="1" t="s">
        <v>434</v>
      </c>
      <c r="G2" s="1" t="s">
        <v>435</v>
      </c>
      <c r="H2" s="1" t="s">
        <v>436</v>
      </c>
      <c r="I2" s="1" t="s">
        <v>437</v>
      </c>
      <c r="J2" s="1" t="s">
        <v>188</v>
      </c>
      <c r="K2" s="1" t="s">
        <v>438</v>
      </c>
      <c r="L2" s="1" t="s">
        <v>439</v>
      </c>
    </row>
    <row r="3" spans="1:12">
      <c r="A3" s="215" t="s">
        <v>440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2">
      <c r="A4" s="3" t="s">
        <v>16</v>
      </c>
      <c r="B4" s="4" t="s">
        <v>441</v>
      </c>
      <c r="C4" s="3" t="s">
        <v>442</v>
      </c>
      <c r="D4" s="4">
        <v>1</v>
      </c>
      <c r="E4" s="3" t="s">
        <v>426</v>
      </c>
      <c r="F4" s="3" t="s">
        <v>426</v>
      </c>
      <c r="G4" s="3"/>
      <c r="H4" s="3"/>
      <c r="I4" s="4">
        <v>0</v>
      </c>
      <c r="J4" s="4" t="s">
        <v>376</v>
      </c>
      <c r="K4" s="4" t="s">
        <v>424</v>
      </c>
      <c r="L4" s="3"/>
    </row>
    <row r="5" spans="1:12">
      <c r="A5" s="3" t="s">
        <v>16</v>
      </c>
      <c r="B5" s="4" t="s">
        <v>443</v>
      </c>
      <c r="C5" s="3" t="s">
        <v>444</v>
      </c>
      <c r="D5" s="4">
        <v>1</v>
      </c>
      <c r="E5" s="3" t="s">
        <v>426</v>
      </c>
      <c r="F5" s="3" t="s">
        <v>426</v>
      </c>
      <c r="G5" s="3"/>
      <c r="H5" s="3"/>
      <c r="I5" s="4">
        <v>0</v>
      </c>
      <c r="J5" s="4" t="s">
        <v>376</v>
      </c>
      <c r="K5" s="4" t="s">
        <v>424</v>
      </c>
      <c r="L5" s="3"/>
    </row>
    <row r="6" spans="1:12">
      <c r="A6" s="3" t="s">
        <v>16</v>
      </c>
      <c r="B6" s="4" t="s">
        <v>445</v>
      </c>
      <c r="C6" s="3" t="s">
        <v>446</v>
      </c>
      <c r="D6" s="4">
        <v>8</v>
      </c>
      <c r="E6" s="3" t="s">
        <v>426</v>
      </c>
      <c r="F6" s="3" t="s">
        <v>426</v>
      </c>
      <c r="G6" s="3"/>
      <c r="H6" s="3"/>
      <c r="I6" s="4">
        <v>0</v>
      </c>
      <c r="J6" s="4" t="s">
        <v>376</v>
      </c>
      <c r="K6" s="4" t="s">
        <v>424</v>
      </c>
      <c r="L6" s="3"/>
    </row>
    <row r="7" spans="1:12">
      <c r="A7" s="3" t="s">
        <v>16</v>
      </c>
      <c r="B7" s="4" t="s">
        <v>447</v>
      </c>
      <c r="C7" s="3" t="s">
        <v>448</v>
      </c>
      <c r="D7" s="4">
        <v>2.5</v>
      </c>
      <c r="E7" s="3" t="s">
        <v>426</v>
      </c>
      <c r="F7" s="3" t="s">
        <v>426</v>
      </c>
      <c r="G7" s="3"/>
      <c r="H7" s="3"/>
      <c r="I7" s="4">
        <v>0</v>
      </c>
      <c r="J7" s="4" t="s">
        <v>376</v>
      </c>
      <c r="K7" s="4" t="s">
        <v>424</v>
      </c>
      <c r="L7" s="3"/>
    </row>
    <row r="8" spans="1:12">
      <c r="A8" s="3" t="s">
        <v>16</v>
      </c>
      <c r="B8" s="4" t="s">
        <v>449</v>
      </c>
      <c r="C8" s="3" t="s">
        <v>450</v>
      </c>
      <c r="D8" s="4">
        <v>4</v>
      </c>
      <c r="E8" s="3" t="s">
        <v>426</v>
      </c>
      <c r="F8" s="3" t="s">
        <v>426</v>
      </c>
      <c r="G8" s="3"/>
      <c r="H8" s="3"/>
      <c r="I8" s="4">
        <v>0</v>
      </c>
      <c r="J8" s="4" t="s">
        <v>376</v>
      </c>
      <c r="K8" s="4" t="s">
        <v>424</v>
      </c>
      <c r="L8" s="3"/>
    </row>
    <row r="9" spans="1:12">
      <c r="A9" s="3" t="s">
        <v>16</v>
      </c>
      <c r="B9" s="4" t="s">
        <v>451</v>
      </c>
      <c r="C9" s="3" t="s">
        <v>452</v>
      </c>
      <c r="D9" s="4">
        <v>2</v>
      </c>
      <c r="E9" s="3" t="s">
        <v>426</v>
      </c>
      <c r="F9" s="3" t="s">
        <v>426</v>
      </c>
      <c r="G9" s="3"/>
      <c r="H9" s="3"/>
      <c r="I9" s="4">
        <v>0</v>
      </c>
      <c r="J9" s="4" t="s">
        <v>376</v>
      </c>
      <c r="K9" s="4" t="s">
        <v>424</v>
      </c>
      <c r="L9" s="3"/>
    </row>
    <row r="10" spans="1:12" ht="27">
      <c r="A10" s="3" t="s">
        <v>16</v>
      </c>
      <c r="B10" s="4" t="s">
        <v>453</v>
      </c>
      <c r="C10" s="3" t="s">
        <v>454</v>
      </c>
      <c r="D10" s="4">
        <v>2</v>
      </c>
      <c r="E10" s="3" t="s">
        <v>426</v>
      </c>
      <c r="F10" s="3" t="s">
        <v>426</v>
      </c>
      <c r="G10" s="3"/>
      <c r="H10" s="3"/>
      <c r="I10" s="4">
        <v>0</v>
      </c>
      <c r="J10" s="4" t="s">
        <v>376</v>
      </c>
      <c r="K10" s="4" t="s">
        <v>424</v>
      </c>
      <c r="L10" s="3"/>
    </row>
    <row r="11" spans="1:12">
      <c r="A11" s="3" t="s">
        <v>16</v>
      </c>
      <c r="B11" s="4" t="s">
        <v>455</v>
      </c>
      <c r="C11" s="3" t="s">
        <v>456</v>
      </c>
      <c r="D11" s="4">
        <v>2</v>
      </c>
      <c r="E11" s="3" t="s">
        <v>426</v>
      </c>
      <c r="F11" s="3" t="s">
        <v>426</v>
      </c>
      <c r="G11" s="3"/>
      <c r="H11" s="3"/>
      <c r="I11" s="4">
        <v>0</v>
      </c>
      <c r="J11" s="4" t="s">
        <v>376</v>
      </c>
      <c r="K11" s="4" t="s">
        <v>424</v>
      </c>
      <c r="L11" s="3"/>
    </row>
    <row r="12" spans="1:12">
      <c r="A12" s="3" t="s">
        <v>16</v>
      </c>
      <c r="B12" s="4" t="s">
        <v>457</v>
      </c>
      <c r="C12" s="3" t="s">
        <v>458</v>
      </c>
      <c r="D12" s="4">
        <v>4</v>
      </c>
      <c r="E12" s="3" t="s">
        <v>426</v>
      </c>
      <c r="F12" s="3" t="s">
        <v>426</v>
      </c>
      <c r="G12" s="3"/>
      <c r="H12" s="3"/>
      <c r="I12" s="4">
        <v>0</v>
      </c>
      <c r="J12" s="4" t="s">
        <v>376</v>
      </c>
      <c r="K12" s="4" t="s">
        <v>424</v>
      </c>
      <c r="L12" s="3"/>
    </row>
    <row r="13" spans="1:12">
      <c r="A13" s="3" t="s">
        <v>16</v>
      </c>
      <c r="B13" s="4" t="s">
        <v>459</v>
      </c>
      <c r="C13" s="3" t="s">
        <v>460</v>
      </c>
      <c r="D13" s="4">
        <v>4</v>
      </c>
      <c r="E13" s="3" t="s">
        <v>426</v>
      </c>
      <c r="F13" s="3" t="s">
        <v>426</v>
      </c>
      <c r="G13" s="3"/>
      <c r="H13" s="3"/>
      <c r="I13" s="4">
        <v>0</v>
      </c>
      <c r="J13" s="4" t="s">
        <v>376</v>
      </c>
      <c r="K13" s="4" t="s">
        <v>424</v>
      </c>
      <c r="L13" s="3"/>
    </row>
    <row r="14" spans="1:12">
      <c r="A14" s="3" t="s">
        <v>16</v>
      </c>
      <c r="B14" s="4" t="s">
        <v>461</v>
      </c>
      <c r="C14" s="3" t="s">
        <v>462</v>
      </c>
      <c r="D14" s="4">
        <v>2</v>
      </c>
      <c r="E14" s="3" t="s">
        <v>426</v>
      </c>
      <c r="F14" s="3" t="s">
        <v>426</v>
      </c>
      <c r="G14" s="3"/>
      <c r="H14" s="3"/>
      <c r="I14" s="4">
        <v>0</v>
      </c>
      <c r="J14" s="4" t="s">
        <v>376</v>
      </c>
      <c r="K14" s="4" t="s">
        <v>424</v>
      </c>
      <c r="L14" s="3"/>
    </row>
    <row r="15" spans="1:12">
      <c r="A15" s="3" t="s">
        <v>16</v>
      </c>
      <c r="B15" s="4" t="s">
        <v>463</v>
      </c>
      <c r="C15" s="8" t="s">
        <v>464</v>
      </c>
      <c r="D15" s="4">
        <v>2</v>
      </c>
      <c r="E15" s="3" t="s">
        <v>426</v>
      </c>
      <c r="F15" s="3" t="s">
        <v>426</v>
      </c>
      <c r="G15" s="3"/>
      <c r="H15" s="3"/>
      <c r="I15" s="4">
        <v>0</v>
      </c>
      <c r="J15" s="4" t="s">
        <v>376</v>
      </c>
      <c r="K15" s="4" t="s">
        <v>424</v>
      </c>
      <c r="L15" s="3"/>
    </row>
    <row r="16" spans="1:12">
      <c r="A16" s="3" t="s">
        <v>16</v>
      </c>
      <c r="B16" s="4" t="s">
        <v>465</v>
      </c>
      <c r="C16" s="3" t="s">
        <v>466</v>
      </c>
      <c r="D16" s="4">
        <v>2</v>
      </c>
      <c r="E16" s="3" t="s">
        <v>426</v>
      </c>
      <c r="F16" s="3" t="s">
        <v>426</v>
      </c>
      <c r="G16" s="3"/>
      <c r="H16" s="3"/>
      <c r="I16" s="4">
        <v>0</v>
      </c>
      <c r="J16" s="4" t="s">
        <v>376</v>
      </c>
      <c r="K16" s="4" t="s">
        <v>424</v>
      </c>
      <c r="L16" s="3"/>
    </row>
    <row r="17" spans="1:12">
      <c r="A17" s="3" t="s">
        <v>16</v>
      </c>
      <c r="B17" s="4" t="s">
        <v>467</v>
      </c>
      <c r="C17" s="3" t="s">
        <v>468</v>
      </c>
      <c r="D17" s="4">
        <v>1</v>
      </c>
      <c r="E17" s="3" t="s">
        <v>426</v>
      </c>
      <c r="F17" s="3" t="s">
        <v>426</v>
      </c>
      <c r="G17" s="3"/>
      <c r="H17" s="3"/>
      <c r="I17" s="4">
        <v>0</v>
      </c>
      <c r="J17" s="4" t="s">
        <v>376</v>
      </c>
      <c r="K17" s="4" t="s">
        <v>424</v>
      </c>
      <c r="L17" s="3"/>
    </row>
    <row r="18" spans="1:12">
      <c r="A18" s="215" t="s">
        <v>469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</row>
    <row r="19" spans="1:12">
      <c r="A19" s="3" t="s">
        <v>114</v>
      </c>
      <c r="B19" s="4" t="s">
        <v>441</v>
      </c>
      <c r="C19" s="3" t="s">
        <v>442</v>
      </c>
      <c r="D19" s="4">
        <v>1</v>
      </c>
      <c r="E19" s="3" t="s">
        <v>426</v>
      </c>
      <c r="F19" s="3" t="s">
        <v>426</v>
      </c>
      <c r="G19" s="3"/>
      <c r="H19" s="3"/>
      <c r="I19" s="4">
        <v>0</v>
      </c>
      <c r="J19" s="4" t="s">
        <v>376</v>
      </c>
      <c r="K19" s="4" t="s">
        <v>424</v>
      </c>
      <c r="L19" s="3"/>
    </row>
    <row r="20" spans="1:12">
      <c r="A20" s="3" t="s">
        <v>114</v>
      </c>
      <c r="B20" s="4" t="s">
        <v>443</v>
      </c>
      <c r="C20" s="3" t="s">
        <v>444</v>
      </c>
      <c r="D20" s="4">
        <v>1</v>
      </c>
      <c r="E20" s="3" t="s">
        <v>426</v>
      </c>
      <c r="F20" s="3" t="s">
        <v>426</v>
      </c>
      <c r="G20" s="3"/>
      <c r="H20" s="3"/>
      <c r="I20" s="4">
        <v>0</v>
      </c>
      <c r="J20" s="4" t="s">
        <v>376</v>
      </c>
      <c r="K20" s="4" t="s">
        <v>424</v>
      </c>
      <c r="L20" s="3"/>
    </row>
    <row r="21" spans="1:12">
      <c r="A21" s="3" t="s">
        <v>114</v>
      </c>
      <c r="B21" s="4" t="s">
        <v>445</v>
      </c>
      <c r="C21" s="3" t="s">
        <v>446</v>
      </c>
      <c r="D21" s="4">
        <v>8</v>
      </c>
      <c r="E21" s="3" t="s">
        <v>426</v>
      </c>
      <c r="F21" s="3" t="s">
        <v>426</v>
      </c>
      <c r="G21" s="3"/>
      <c r="H21" s="3"/>
      <c r="I21" s="4">
        <v>0</v>
      </c>
      <c r="J21" s="4" t="s">
        <v>376</v>
      </c>
      <c r="K21" s="4" t="s">
        <v>424</v>
      </c>
      <c r="L21" s="3"/>
    </row>
    <row r="22" spans="1:12">
      <c r="A22" s="3" t="s">
        <v>114</v>
      </c>
      <c r="B22" s="4" t="s">
        <v>447</v>
      </c>
      <c r="C22" s="3" t="s">
        <v>448</v>
      </c>
      <c r="D22" s="4">
        <v>2.5</v>
      </c>
      <c r="E22" s="3" t="s">
        <v>426</v>
      </c>
      <c r="F22" s="3" t="s">
        <v>426</v>
      </c>
      <c r="G22" s="3"/>
      <c r="H22" s="3"/>
      <c r="I22" s="4">
        <v>0</v>
      </c>
      <c r="J22" s="4" t="s">
        <v>376</v>
      </c>
      <c r="K22" s="4" t="s">
        <v>424</v>
      </c>
      <c r="L22" s="3"/>
    </row>
    <row r="23" spans="1:12">
      <c r="A23" s="3" t="s">
        <v>114</v>
      </c>
      <c r="B23" s="4" t="s">
        <v>449</v>
      </c>
      <c r="C23" s="3" t="s">
        <v>450</v>
      </c>
      <c r="D23" s="4">
        <v>4</v>
      </c>
      <c r="E23" s="3" t="s">
        <v>426</v>
      </c>
      <c r="F23" s="3" t="s">
        <v>426</v>
      </c>
      <c r="G23" s="3"/>
      <c r="H23" s="3"/>
      <c r="I23" s="4">
        <v>0</v>
      </c>
      <c r="J23" s="4" t="s">
        <v>376</v>
      </c>
      <c r="K23" s="4" t="s">
        <v>424</v>
      </c>
      <c r="L23" s="3"/>
    </row>
    <row r="24" spans="1:12">
      <c r="A24" s="3" t="s">
        <v>114</v>
      </c>
      <c r="B24" s="4" t="s">
        <v>451</v>
      </c>
      <c r="C24" s="3" t="s">
        <v>452</v>
      </c>
      <c r="D24" s="4">
        <v>2</v>
      </c>
      <c r="E24" s="3" t="s">
        <v>426</v>
      </c>
      <c r="F24" s="3" t="s">
        <v>426</v>
      </c>
      <c r="G24" s="3"/>
      <c r="H24" s="3"/>
      <c r="I24" s="4">
        <v>0</v>
      </c>
      <c r="J24" s="4" t="s">
        <v>376</v>
      </c>
      <c r="K24" s="4" t="s">
        <v>424</v>
      </c>
      <c r="L24" s="3"/>
    </row>
    <row r="25" spans="1:12" ht="27">
      <c r="A25" s="3" t="s">
        <v>114</v>
      </c>
      <c r="B25" s="4" t="s">
        <v>453</v>
      </c>
      <c r="C25" s="3" t="s">
        <v>454</v>
      </c>
      <c r="D25" s="4">
        <v>2</v>
      </c>
      <c r="E25" s="3" t="s">
        <v>426</v>
      </c>
      <c r="F25" s="3" t="s">
        <v>426</v>
      </c>
      <c r="G25" s="3"/>
      <c r="H25" s="3"/>
      <c r="I25" s="4">
        <v>0</v>
      </c>
      <c r="J25" s="4" t="s">
        <v>376</v>
      </c>
      <c r="K25" s="4" t="s">
        <v>424</v>
      </c>
      <c r="L25" s="3"/>
    </row>
    <row r="26" spans="1:12">
      <c r="A26" s="3" t="s">
        <v>114</v>
      </c>
      <c r="B26" s="4" t="s">
        <v>455</v>
      </c>
      <c r="C26" s="3" t="s">
        <v>456</v>
      </c>
      <c r="D26" s="4">
        <v>2</v>
      </c>
      <c r="E26" s="3" t="s">
        <v>426</v>
      </c>
      <c r="F26" s="3" t="s">
        <v>426</v>
      </c>
      <c r="G26" s="3"/>
      <c r="H26" s="3"/>
      <c r="I26" s="4">
        <v>0</v>
      </c>
      <c r="J26" s="4" t="s">
        <v>376</v>
      </c>
      <c r="K26" s="4" t="s">
        <v>424</v>
      </c>
      <c r="L26" s="3"/>
    </row>
    <row r="27" spans="1:12">
      <c r="A27" s="3" t="s">
        <v>114</v>
      </c>
      <c r="B27" s="4" t="s">
        <v>457</v>
      </c>
      <c r="C27" s="3" t="s">
        <v>458</v>
      </c>
      <c r="D27" s="4">
        <v>4</v>
      </c>
      <c r="E27" s="3" t="s">
        <v>426</v>
      </c>
      <c r="F27" s="3" t="s">
        <v>426</v>
      </c>
      <c r="G27" s="3"/>
      <c r="H27" s="3"/>
      <c r="I27" s="4">
        <v>0</v>
      </c>
      <c r="J27" s="4" t="s">
        <v>376</v>
      </c>
      <c r="K27" s="4" t="s">
        <v>424</v>
      </c>
      <c r="L27" s="3"/>
    </row>
    <row r="28" spans="1:12">
      <c r="A28" s="3" t="s">
        <v>114</v>
      </c>
      <c r="B28" s="4" t="s">
        <v>459</v>
      </c>
      <c r="C28" s="3" t="s">
        <v>460</v>
      </c>
      <c r="D28" s="4">
        <v>4</v>
      </c>
      <c r="E28" s="3" t="s">
        <v>426</v>
      </c>
      <c r="F28" s="3" t="s">
        <v>426</v>
      </c>
      <c r="G28" s="3"/>
      <c r="H28" s="3"/>
      <c r="I28" s="4">
        <v>0</v>
      </c>
      <c r="J28" s="4" t="s">
        <v>376</v>
      </c>
      <c r="K28" s="4" t="s">
        <v>424</v>
      </c>
      <c r="L28" s="3"/>
    </row>
    <row r="29" spans="1:12">
      <c r="A29" s="3" t="s">
        <v>114</v>
      </c>
      <c r="B29" s="4" t="s">
        <v>461</v>
      </c>
      <c r="C29" s="3" t="s">
        <v>462</v>
      </c>
      <c r="D29" s="4">
        <v>2</v>
      </c>
      <c r="E29" s="3" t="s">
        <v>426</v>
      </c>
      <c r="F29" s="3" t="s">
        <v>426</v>
      </c>
      <c r="G29" s="3"/>
      <c r="H29" s="3"/>
      <c r="I29" s="4">
        <v>0</v>
      </c>
      <c r="J29" s="4" t="s">
        <v>376</v>
      </c>
      <c r="K29" s="4" t="s">
        <v>424</v>
      </c>
      <c r="L29" s="3"/>
    </row>
    <row r="30" spans="1:12">
      <c r="A30" s="3" t="s">
        <v>114</v>
      </c>
      <c r="B30" s="4" t="s">
        <v>463</v>
      </c>
      <c r="C30" s="8" t="s">
        <v>464</v>
      </c>
      <c r="D30" s="4">
        <v>2</v>
      </c>
      <c r="E30" s="3" t="s">
        <v>426</v>
      </c>
      <c r="F30" s="3" t="s">
        <v>426</v>
      </c>
      <c r="G30" s="3"/>
      <c r="H30" s="3"/>
      <c r="I30" s="4">
        <v>0</v>
      </c>
      <c r="J30" s="4" t="s">
        <v>376</v>
      </c>
      <c r="K30" s="4" t="s">
        <v>424</v>
      </c>
      <c r="L30" s="3"/>
    </row>
    <row r="31" spans="1:12">
      <c r="A31" s="3" t="s">
        <v>114</v>
      </c>
      <c r="B31" s="4" t="s">
        <v>465</v>
      </c>
      <c r="C31" s="3" t="s">
        <v>466</v>
      </c>
      <c r="D31" s="4">
        <v>2</v>
      </c>
      <c r="E31" s="3" t="s">
        <v>426</v>
      </c>
      <c r="F31" s="3" t="s">
        <v>426</v>
      </c>
      <c r="G31" s="3"/>
      <c r="H31" s="3"/>
      <c r="I31" s="4">
        <v>0</v>
      </c>
      <c r="J31" s="4" t="s">
        <v>376</v>
      </c>
      <c r="K31" s="4" t="s">
        <v>424</v>
      </c>
      <c r="L31" s="3"/>
    </row>
    <row r="32" spans="1:12">
      <c r="A32" s="3" t="s">
        <v>114</v>
      </c>
      <c r="B32" s="4" t="s">
        <v>467</v>
      </c>
      <c r="C32" s="3" t="s">
        <v>468</v>
      </c>
      <c r="D32" s="4">
        <v>1</v>
      </c>
      <c r="E32" s="3" t="s">
        <v>426</v>
      </c>
      <c r="F32" s="3" t="s">
        <v>426</v>
      </c>
      <c r="G32" s="3"/>
      <c r="H32" s="3"/>
      <c r="I32" s="4">
        <v>0</v>
      </c>
      <c r="J32" s="4" t="s">
        <v>376</v>
      </c>
      <c r="K32" s="4" t="s">
        <v>424</v>
      </c>
      <c r="L32" s="3"/>
    </row>
    <row r="33" spans="1:12">
      <c r="A33" s="215" t="s">
        <v>470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</row>
    <row r="34" spans="1:12">
      <c r="A34" s="3" t="s">
        <v>11</v>
      </c>
      <c r="B34" s="4" t="s">
        <v>441</v>
      </c>
      <c r="C34" s="3" t="s">
        <v>442</v>
      </c>
      <c r="D34" s="4">
        <v>1</v>
      </c>
      <c r="E34" s="3" t="s">
        <v>426</v>
      </c>
      <c r="F34" s="3" t="s">
        <v>426</v>
      </c>
      <c r="G34" s="3"/>
      <c r="H34" s="3"/>
      <c r="I34" s="4">
        <v>0</v>
      </c>
      <c r="J34" s="4" t="s">
        <v>376</v>
      </c>
      <c r="K34" s="4" t="s">
        <v>424</v>
      </c>
      <c r="L34" s="3"/>
    </row>
    <row r="35" spans="1:12">
      <c r="A35" s="3" t="s">
        <v>11</v>
      </c>
      <c r="B35" s="4" t="s">
        <v>443</v>
      </c>
      <c r="C35" s="3" t="s">
        <v>444</v>
      </c>
      <c r="D35" s="4">
        <v>1</v>
      </c>
      <c r="E35" s="3" t="s">
        <v>426</v>
      </c>
      <c r="F35" s="3" t="s">
        <v>426</v>
      </c>
      <c r="G35" s="3"/>
      <c r="H35" s="3"/>
      <c r="I35" s="4">
        <v>0</v>
      </c>
      <c r="J35" s="4" t="s">
        <v>376</v>
      </c>
      <c r="K35" s="4" t="s">
        <v>424</v>
      </c>
      <c r="L35" s="3"/>
    </row>
    <row r="36" spans="1:12">
      <c r="A36" s="3" t="s">
        <v>11</v>
      </c>
      <c r="B36" s="4" t="s">
        <v>445</v>
      </c>
      <c r="C36" s="3" t="s">
        <v>446</v>
      </c>
      <c r="D36" s="4">
        <v>8</v>
      </c>
      <c r="E36" s="3" t="s">
        <v>426</v>
      </c>
      <c r="F36" s="3" t="s">
        <v>426</v>
      </c>
      <c r="G36" s="3"/>
      <c r="H36" s="3"/>
      <c r="I36" s="4">
        <v>0</v>
      </c>
      <c r="J36" s="4" t="s">
        <v>376</v>
      </c>
      <c r="K36" s="4" t="s">
        <v>424</v>
      </c>
      <c r="L36" s="3"/>
    </row>
    <row r="37" spans="1:12">
      <c r="A37" s="3" t="s">
        <v>11</v>
      </c>
      <c r="B37" s="4" t="s">
        <v>447</v>
      </c>
      <c r="C37" s="3" t="s">
        <v>448</v>
      </c>
      <c r="D37" s="4">
        <v>2.5</v>
      </c>
      <c r="E37" s="3" t="s">
        <v>426</v>
      </c>
      <c r="F37" s="3" t="s">
        <v>426</v>
      </c>
      <c r="G37" s="3"/>
      <c r="H37" s="3"/>
      <c r="I37" s="4">
        <v>0</v>
      </c>
      <c r="J37" s="4" t="s">
        <v>376</v>
      </c>
      <c r="K37" s="4" t="s">
        <v>424</v>
      </c>
      <c r="L37" s="3"/>
    </row>
    <row r="38" spans="1:12">
      <c r="A38" s="3" t="s">
        <v>11</v>
      </c>
      <c r="B38" s="4" t="s">
        <v>449</v>
      </c>
      <c r="C38" s="3" t="s">
        <v>450</v>
      </c>
      <c r="D38" s="4">
        <v>4</v>
      </c>
      <c r="E38" s="3" t="s">
        <v>426</v>
      </c>
      <c r="F38" s="3" t="s">
        <v>426</v>
      </c>
      <c r="G38" s="3"/>
      <c r="H38" s="3"/>
      <c r="I38" s="4">
        <v>0</v>
      </c>
      <c r="J38" s="4" t="s">
        <v>376</v>
      </c>
      <c r="K38" s="4" t="s">
        <v>424</v>
      </c>
      <c r="L38" s="3"/>
    </row>
    <row r="39" spans="1:12">
      <c r="A39" s="3" t="s">
        <v>11</v>
      </c>
      <c r="B39" s="4" t="s">
        <v>451</v>
      </c>
      <c r="C39" s="3" t="s">
        <v>452</v>
      </c>
      <c r="D39" s="4">
        <v>2</v>
      </c>
      <c r="E39" s="3" t="s">
        <v>426</v>
      </c>
      <c r="F39" s="3" t="s">
        <v>426</v>
      </c>
      <c r="G39" s="3"/>
      <c r="H39" s="3"/>
      <c r="I39" s="4">
        <v>0</v>
      </c>
      <c r="J39" s="4" t="s">
        <v>376</v>
      </c>
      <c r="K39" s="4" t="s">
        <v>424</v>
      </c>
      <c r="L39" s="3"/>
    </row>
    <row r="40" spans="1:12" ht="27">
      <c r="A40" s="3" t="s">
        <v>11</v>
      </c>
      <c r="B40" s="4" t="s">
        <v>453</v>
      </c>
      <c r="C40" s="3" t="s">
        <v>454</v>
      </c>
      <c r="D40" s="4"/>
      <c r="E40" s="3" t="s">
        <v>426</v>
      </c>
      <c r="F40" s="3" t="s">
        <v>426</v>
      </c>
      <c r="G40" s="3"/>
      <c r="H40" s="3"/>
      <c r="I40" s="4">
        <v>0</v>
      </c>
      <c r="J40" s="4" t="s">
        <v>376</v>
      </c>
      <c r="K40" s="4" t="s">
        <v>424</v>
      </c>
      <c r="L40" s="3"/>
    </row>
    <row r="41" spans="1:12">
      <c r="A41" s="3" t="s">
        <v>11</v>
      </c>
      <c r="B41" s="4" t="s">
        <v>455</v>
      </c>
      <c r="C41" s="3" t="s">
        <v>456</v>
      </c>
      <c r="D41" s="4">
        <v>2</v>
      </c>
      <c r="E41" s="3" t="s">
        <v>426</v>
      </c>
      <c r="F41" s="3" t="s">
        <v>426</v>
      </c>
      <c r="G41" s="3"/>
      <c r="H41" s="3"/>
      <c r="I41" s="4">
        <v>0</v>
      </c>
      <c r="J41" s="4" t="s">
        <v>376</v>
      </c>
      <c r="K41" s="4" t="s">
        <v>424</v>
      </c>
      <c r="L41" s="3"/>
    </row>
    <row r="42" spans="1:12">
      <c r="A42" s="3" t="s">
        <v>11</v>
      </c>
      <c r="B42" s="4" t="s">
        <v>457</v>
      </c>
      <c r="C42" s="3" t="s">
        <v>458</v>
      </c>
      <c r="D42" s="4">
        <v>4</v>
      </c>
      <c r="E42" s="3" t="s">
        <v>426</v>
      </c>
      <c r="F42" s="3" t="s">
        <v>426</v>
      </c>
      <c r="G42" s="3"/>
      <c r="H42" s="3"/>
      <c r="I42" s="4">
        <v>0</v>
      </c>
      <c r="J42" s="4" t="s">
        <v>376</v>
      </c>
      <c r="K42" s="4" t="s">
        <v>424</v>
      </c>
      <c r="L42" s="3"/>
    </row>
    <row r="43" spans="1:12">
      <c r="A43" s="3" t="s">
        <v>11</v>
      </c>
      <c r="B43" s="4" t="s">
        <v>459</v>
      </c>
      <c r="C43" s="3" t="s">
        <v>460</v>
      </c>
      <c r="D43" s="4">
        <v>4</v>
      </c>
      <c r="E43" s="3" t="s">
        <v>426</v>
      </c>
      <c r="F43" s="3" t="s">
        <v>426</v>
      </c>
      <c r="G43" s="3"/>
      <c r="H43" s="3"/>
      <c r="I43" s="4">
        <v>0</v>
      </c>
      <c r="J43" s="4" t="s">
        <v>376</v>
      </c>
      <c r="K43" s="4" t="s">
        <v>424</v>
      </c>
      <c r="L43" s="3"/>
    </row>
    <row r="44" spans="1:12">
      <c r="A44" s="3" t="s">
        <v>11</v>
      </c>
      <c r="B44" s="4" t="s">
        <v>461</v>
      </c>
      <c r="C44" s="3" t="s">
        <v>462</v>
      </c>
      <c r="D44" s="4">
        <v>2</v>
      </c>
      <c r="E44" s="3" t="s">
        <v>426</v>
      </c>
      <c r="F44" s="3" t="s">
        <v>426</v>
      </c>
      <c r="G44" s="3"/>
      <c r="H44" s="3"/>
      <c r="I44" s="4">
        <v>0</v>
      </c>
      <c r="J44" s="4" t="s">
        <v>376</v>
      </c>
      <c r="K44" s="4" t="s">
        <v>424</v>
      </c>
      <c r="L44" s="3"/>
    </row>
    <row r="45" spans="1:12">
      <c r="A45" s="3" t="s">
        <v>11</v>
      </c>
      <c r="B45" s="4" t="s">
        <v>463</v>
      </c>
      <c r="C45" s="8" t="s">
        <v>464</v>
      </c>
      <c r="D45" s="4">
        <v>2</v>
      </c>
      <c r="E45" s="3" t="s">
        <v>426</v>
      </c>
      <c r="F45" s="3" t="s">
        <v>426</v>
      </c>
      <c r="G45" s="3"/>
      <c r="H45" s="3"/>
      <c r="I45" s="4">
        <v>0</v>
      </c>
      <c r="J45" s="4" t="s">
        <v>376</v>
      </c>
      <c r="K45" s="4" t="s">
        <v>424</v>
      </c>
      <c r="L45" s="3"/>
    </row>
    <row r="46" spans="1:12">
      <c r="A46" s="3" t="s">
        <v>11</v>
      </c>
      <c r="B46" s="4" t="s">
        <v>465</v>
      </c>
      <c r="C46" s="3" t="s">
        <v>466</v>
      </c>
      <c r="D46" s="4">
        <v>2</v>
      </c>
      <c r="E46" s="3" t="s">
        <v>426</v>
      </c>
      <c r="F46" s="3" t="s">
        <v>426</v>
      </c>
      <c r="G46" s="3"/>
      <c r="H46" s="3"/>
      <c r="I46" s="4">
        <v>0</v>
      </c>
      <c r="J46" s="4" t="s">
        <v>376</v>
      </c>
      <c r="K46" s="4" t="s">
        <v>424</v>
      </c>
      <c r="L46" s="3"/>
    </row>
    <row r="47" spans="1:12">
      <c r="A47" s="3" t="s">
        <v>11</v>
      </c>
      <c r="B47" s="4" t="s">
        <v>467</v>
      </c>
      <c r="C47" s="3" t="s">
        <v>468</v>
      </c>
      <c r="D47" s="4">
        <v>1</v>
      </c>
      <c r="E47" s="3" t="s">
        <v>426</v>
      </c>
      <c r="F47" s="3" t="s">
        <v>426</v>
      </c>
      <c r="G47" s="3"/>
      <c r="H47" s="3"/>
      <c r="I47" s="4">
        <v>0</v>
      </c>
      <c r="J47" s="4" t="s">
        <v>376</v>
      </c>
      <c r="K47" s="4" t="s">
        <v>424</v>
      </c>
      <c r="L47" s="3"/>
    </row>
    <row r="48" spans="1:12">
      <c r="A48" s="215" t="s">
        <v>471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</row>
    <row r="49" spans="1:12">
      <c r="A49" s="3" t="s">
        <v>14</v>
      </c>
      <c r="B49" s="4" t="s">
        <v>441</v>
      </c>
      <c r="C49" s="3" t="s">
        <v>442</v>
      </c>
      <c r="D49" s="4">
        <v>1</v>
      </c>
      <c r="E49" s="3" t="s">
        <v>426</v>
      </c>
      <c r="F49" s="3" t="s">
        <v>426</v>
      </c>
      <c r="G49" s="3"/>
      <c r="H49" s="3"/>
      <c r="I49" s="4">
        <v>0</v>
      </c>
      <c r="J49" s="4" t="s">
        <v>376</v>
      </c>
      <c r="K49" s="4" t="s">
        <v>424</v>
      </c>
      <c r="L49" s="3"/>
    </row>
    <row r="50" spans="1:12">
      <c r="A50" s="3" t="s">
        <v>14</v>
      </c>
      <c r="B50" s="4" t="s">
        <v>443</v>
      </c>
      <c r="C50" s="3" t="s">
        <v>444</v>
      </c>
      <c r="D50" s="4">
        <v>1</v>
      </c>
      <c r="E50" s="3" t="s">
        <v>426</v>
      </c>
      <c r="F50" s="3" t="s">
        <v>426</v>
      </c>
      <c r="G50" s="3"/>
      <c r="H50" s="3"/>
      <c r="I50" s="4">
        <v>0</v>
      </c>
      <c r="J50" s="4" t="s">
        <v>376</v>
      </c>
      <c r="K50" s="4" t="s">
        <v>424</v>
      </c>
      <c r="L50" s="3"/>
    </row>
    <row r="51" spans="1:12">
      <c r="A51" s="3" t="s">
        <v>14</v>
      </c>
      <c r="B51" s="4" t="s">
        <v>445</v>
      </c>
      <c r="C51" s="3" t="s">
        <v>446</v>
      </c>
      <c r="D51" s="4">
        <v>8</v>
      </c>
      <c r="E51" s="3" t="s">
        <v>426</v>
      </c>
      <c r="F51" s="3" t="s">
        <v>426</v>
      </c>
      <c r="G51" s="3"/>
      <c r="H51" s="3"/>
      <c r="I51" s="4">
        <v>0</v>
      </c>
      <c r="J51" s="4" t="s">
        <v>376</v>
      </c>
      <c r="K51" s="4" t="s">
        <v>424</v>
      </c>
      <c r="L51" s="3"/>
    </row>
    <row r="52" spans="1:12">
      <c r="A52" s="3" t="s">
        <v>14</v>
      </c>
      <c r="B52" s="4" t="s">
        <v>447</v>
      </c>
      <c r="C52" s="3" t="s">
        <v>448</v>
      </c>
      <c r="D52" s="4">
        <v>2.5</v>
      </c>
      <c r="E52" s="3" t="s">
        <v>426</v>
      </c>
      <c r="F52" s="3" t="s">
        <v>426</v>
      </c>
      <c r="G52" s="3"/>
      <c r="H52" s="3"/>
      <c r="I52" s="4">
        <v>0</v>
      </c>
      <c r="J52" s="4" t="s">
        <v>376</v>
      </c>
      <c r="K52" s="4" t="s">
        <v>424</v>
      </c>
      <c r="L52" s="3"/>
    </row>
    <row r="53" spans="1:12">
      <c r="A53" s="3" t="s">
        <v>14</v>
      </c>
      <c r="B53" s="4" t="s">
        <v>449</v>
      </c>
      <c r="C53" s="3" t="s">
        <v>450</v>
      </c>
      <c r="D53" s="4">
        <v>4</v>
      </c>
      <c r="E53" s="3" t="s">
        <v>426</v>
      </c>
      <c r="F53" s="3" t="s">
        <v>426</v>
      </c>
      <c r="G53" s="3"/>
      <c r="H53" s="3"/>
      <c r="I53" s="4">
        <v>0</v>
      </c>
      <c r="J53" s="4" t="s">
        <v>376</v>
      </c>
      <c r="K53" s="4" t="s">
        <v>424</v>
      </c>
      <c r="L53" s="3"/>
    </row>
    <row r="54" spans="1:12">
      <c r="A54" s="3" t="s">
        <v>14</v>
      </c>
      <c r="B54" s="4" t="s">
        <v>451</v>
      </c>
      <c r="C54" s="3" t="s">
        <v>452</v>
      </c>
      <c r="D54" s="4">
        <v>2</v>
      </c>
      <c r="E54" s="3" t="s">
        <v>426</v>
      </c>
      <c r="F54" s="3" t="s">
        <v>426</v>
      </c>
      <c r="G54" s="3"/>
      <c r="H54" s="3"/>
      <c r="I54" s="4">
        <v>0</v>
      </c>
      <c r="J54" s="4" t="s">
        <v>376</v>
      </c>
      <c r="K54" s="4" t="s">
        <v>424</v>
      </c>
      <c r="L54" s="3"/>
    </row>
    <row r="55" spans="1:12" ht="27">
      <c r="A55" s="3" t="s">
        <v>14</v>
      </c>
      <c r="B55" s="4" t="s">
        <v>453</v>
      </c>
      <c r="C55" s="3" t="s">
        <v>454</v>
      </c>
      <c r="D55" s="4">
        <v>2</v>
      </c>
      <c r="E55" s="3" t="s">
        <v>426</v>
      </c>
      <c r="F55" s="3" t="s">
        <v>426</v>
      </c>
      <c r="G55" s="3"/>
      <c r="H55" s="3"/>
      <c r="I55" s="4">
        <v>0</v>
      </c>
      <c r="J55" s="4" t="s">
        <v>376</v>
      </c>
      <c r="K55" s="4" t="s">
        <v>424</v>
      </c>
      <c r="L55" s="3"/>
    </row>
    <row r="56" spans="1:12">
      <c r="A56" s="3" t="s">
        <v>14</v>
      </c>
      <c r="B56" s="4" t="s">
        <v>455</v>
      </c>
      <c r="C56" s="3" t="s">
        <v>456</v>
      </c>
      <c r="D56" s="4">
        <v>2</v>
      </c>
      <c r="E56" s="3" t="s">
        <v>426</v>
      </c>
      <c r="F56" s="3" t="s">
        <v>426</v>
      </c>
      <c r="G56" s="3"/>
      <c r="H56" s="3"/>
      <c r="I56" s="4">
        <v>0</v>
      </c>
      <c r="J56" s="4" t="s">
        <v>376</v>
      </c>
      <c r="K56" s="4" t="s">
        <v>424</v>
      </c>
      <c r="L56" s="3"/>
    </row>
    <row r="57" spans="1:12">
      <c r="A57" s="3" t="s">
        <v>14</v>
      </c>
      <c r="B57" s="4" t="s">
        <v>457</v>
      </c>
      <c r="C57" s="3" t="s">
        <v>458</v>
      </c>
      <c r="D57" s="4">
        <v>4</v>
      </c>
      <c r="E57" s="3" t="s">
        <v>426</v>
      </c>
      <c r="F57" s="3" t="s">
        <v>426</v>
      </c>
      <c r="G57" s="3"/>
      <c r="H57" s="3"/>
      <c r="I57" s="4">
        <v>0</v>
      </c>
      <c r="J57" s="4" t="s">
        <v>376</v>
      </c>
      <c r="K57" s="4" t="s">
        <v>424</v>
      </c>
      <c r="L57" s="3"/>
    </row>
    <row r="58" spans="1:12">
      <c r="A58" s="3" t="s">
        <v>14</v>
      </c>
      <c r="B58" s="4" t="s">
        <v>459</v>
      </c>
      <c r="C58" s="3" t="s">
        <v>460</v>
      </c>
      <c r="D58" s="4">
        <v>4</v>
      </c>
      <c r="E58" s="3" t="s">
        <v>426</v>
      </c>
      <c r="F58" s="3" t="s">
        <v>426</v>
      </c>
      <c r="G58" s="3"/>
      <c r="H58" s="3"/>
      <c r="I58" s="4">
        <v>0</v>
      </c>
      <c r="J58" s="4" t="s">
        <v>376</v>
      </c>
      <c r="K58" s="4" t="s">
        <v>424</v>
      </c>
      <c r="L58" s="3"/>
    </row>
    <row r="59" spans="1:12">
      <c r="A59" s="3" t="s">
        <v>14</v>
      </c>
      <c r="B59" s="4" t="s">
        <v>461</v>
      </c>
      <c r="C59" s="3" t="s">
        <v>462</v>
      </c>
      <c r="D59" s="4">
        <v>2</v>
      </c>
      <c r="E59" s="3" t="s">
        <v>426</v>
      </c>
      <c r="F59" s="3" t="s">
        <v>426</v>
      </c>
      <c r="G59" s="3"/>
      <c r="H59" s="3"/>
      <c r="I59" s="4">
        <v>0</v>
      </c>
      <c r="J59" s="4" t="s">
        <v>376</v>
      </c>
      <c r="K59" s="4" t="s">
        <v>424</v>
      </c>
      <c r="L59" s="3"/>
    </row>
    <row r="60" spans="1:12">
      <c r="A60" s="3" t="s">
        <v>14</v>
      </c>
      <c r="B60" s="4" t="s">
        <v>463</v>
      </c>
      <c r="C60" s="8" t="s">
        <v>464</v>
      </c>
      <c r="D60" s="4">
        <v>2</v>
      </c>
      <c r="E60" s="3" t="s">
        <v>426</v>
      </c>
      <c r="F60" s="3" t="s">
        <v>426</v>
      </c>
      <c r="G60" s="3"/>
      <c r="H60" s="3"/>
      <c r="I60" s="4">
        <v>0</v>
      </c>
      <c r="J60" s="4" t="s">
        <v>376</v>
      </c>
      <c r="K60" s="4" t="s">
        <v>424</v>
      </c>
      <c r="L60" s="3"/>
    </row>
    <row r="61" spans="1:12">
      <c r="A61" s="3" t="s">
        <v>14</v>
      </c>
      <c r="B61" s="4" t="s">
        <v>465</v>
      </c>
      <c r="C61" s="3" t="s">
        <v>466</v>
      </c>
      <c r="D61" s="4">
        <v>2</v>
      </c>
      <c r="E61" s="3" t="s">
        <v>426</v>
      </c>
      <c r="F61" s="3" t="s">
        <v>426</v>
      </c>
      <c r="G61" s="3"/>
      <c r="H61" s="3"/>
      <c r="I61" s="4">
        <v>0</v>
      </c>
      <c r="J61" s="4" t="s">
        <v>376</v>
      </c>
      <c r="K61" s="4" t="s">
        <v>424</v>
      </c>
      <c r="L61" s="3"/>
    </row>
    <row r="62" spans="1:12">
      <c r="A62" s="3" t="s">
        <v>14</v>
      </c>
      <c r="B62" s="4" t="s">
        <v>467</v>
      </c>
      <c r="C62" s="3" t="s">
        <v>468</v>
      </c>
      <c r="D62" s="4">
        <v>1</v>
      </c>
      <c r="E62" s="3" t="s">
        <v>426</v>
      </c>
      <c r="F62" s="3" t="s">
        <v>426</v>
      </c>
      <c r="G62" s="3"/>
      <c r="H62" s="3"/>
      <c r="I62" s="4">
        <v>0</v>
      </c>
      <c r="J62" s="4" t="s">
        <v>376</v>
      </c>
      <c r="K62" s="4" t="s">
        <v>424</v>
      </c>
      <c r="L62" s="3"/>
    </row>
    <row r="63" spans="1:12">
      <c r="A63" s="215" t="s">
        <v>472</v>
      </c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</row>
    <row r="64" spans="1:12">
      <c r="A64" s="3" t="s">
        <v>37</v>
      </c>
      <c r="B64" s="4" t="s">
        <v>441</v>
      </c>
      <c r="C64" s="3" t="s">
        <v>442</v>
      </c>
      <c r="D64" s="4">
        <v>1</v>
      </c>
      <c r="E64" s="3" t="s">
        <v>426</v>
      </c>
      <c r="F64" s="3" t="s">
        <v>426</v>
      </c>
      <c r="G64" s="3"/>
      <c r="H64" s="3"/>
      <c r="I64" s="4">
        <v>0</v>
      </c>
      <c r="J64" s="4" t="s">
        <v>376</v>
      </c>
      <c r="K64" s="4" t="s">
        <v>424</v>
      </c>
      <c r="L64" s="3"/>
    </row>
    <row r="65" spans="1:12">
      <c r="A65" s="3" t="s">
        <v>37</v>
      </c>
      <c r="B65" s="4" t="s">
        <v>443</v>
      </c>
      <c r="C65" s="3" t="s">
        <v>444</v>
      </c>
      <c r="D65" s="4">
        <v>1</v>
      </c>
      <c r="E65" s="3" t="s">
        <v>426</v>
      </c>
      <c r="F65" s="3" t="s">
        <v>426</v>
      </c>
      <c r="G65" s="3"/>
      <c r="H65" s="3"/>
      <c r="I65" s="4">
        <v>0</v>
      </c>
      <c r="J65" s="4" t="s">
        <v>376</v>
      </c>
      <c r="K65" s="4" t="s">
        <v>424</v>
      </c>
      <c r="L65" s="3"/>
    </row>
    <row r="66" spans="1:12">
      <c r="A66" s="3" t="s">
        <v>37</v>
      </c>
      <c r="B66" s="4" t="s">
        <v>445</v>
      </c>
      <c r="C66" s="3" t="s">
        <v>446</v>
      </c>
      <c r="D66" s="4">
        <v>8</v>
      </c>
      <c r="E66" s="3" t="s">
        <v>426</v>
      </c>
      <c r="F66" s="3" t="s">
        <v>426</v>
      </c>
      <c r="G66" s="3"/>
      <c r="H66" s="3"/>
      <c r="I66" s="4">
        <v>0</v>
      </c>
      <c r="J66" s="4" t="s">
        <v>376</v>
      </c>
      <c r="K66" s="4" t="s">
        <v>424</v>
      </c>
      <c r="L66" s="3"/>
    </row>
    <row r="67" spans="1:12">
      <c r="A67" s="3" t="s">
        <v>37</v>
      </c>
      <c r="B67" s="4" t="s">
        <v>447</v>
      </c>
      <c r="C67" s="3" t="s">
        <v>448</v>
      </c>
      <c r="D67" s="4">
        <v>2.5</v>
      </c>
      <c r="E67" s="3" t="s">
        <v>426</v>
      </c>
      <c r="F67" s="3" t="s">
        <v>426</v>
      </c>
      <c r="G67" s="3"/>
      <c r="H67" s="3"/>
      <c r="I67" s="4">
        <v>0</v>
      </c>
      <c r="J67" s="4" t="s">
        <v>376</v>
      </c>
      <c r="K67" s="4" t="s">
        <v>424</v>
      </c>
      <c r="L67" s="3"/>
    </row>
    <row r="68" spans="1:12">
      <c r="A68" s="3" t="s">
        <v>37</v>
      </c>
      <c r="B68" s="4" t="s">
        <v>449</v>
      </c>
      <c r="C68" s="3" t="s">
        <v>450</v>
      </c>
      <c r="D68" s="4">
        <v>4</v>
      </c>
      <c r="E68" s="3" t="s">
        <v>426</v>
      </c>
      <c r="F68" s="3" t="s">
        <v>426</v>
      </c>
      <c r="G68" s="3"/>
      <c r="H68" s="3"/>
      <c r="I68" s="4">
        <v>0</v>
      </c>
      <c r="J68" s="4" t="s">
        <v>376</v>
      </c>
      <c r="K68" s="4" t="s">
        <v>424</v>
      </c>
      <c r="L68" s="3"/>
    </row>
    <row r="69" spans="1:12">
      <c r="A69" s="3" t="s">
        <v>37</v>
      </c>
      <c r="B69" s="4" t="s">
        <v>451</v>
      </c>
      <c r="C69" s="3" t="s">
        <v>452</v>
      </c>
      <c r="D69" s="4">
        <v>2</v>
      </c>
      <c r="E69" s="3" t="s">
        <v>426</v>
      </c>
      <c r="F69" s="3" t="s">
        <v>426</v>
      </c>
      <c r="G69" s="3"/>
      <c r="H69" s="3"/>
      <c r="I69" s="4">
        <v>0</v>
      </c>
      <c r="J69" s="4" t="s">
        <v>376</v>
      </c>
      <c r="K69" s="4" t="s">
        <v>424</v>
      </c>
      <c r="L69" s="3"/>
    </row>
    <row r="70" spans="1:12" ht="27">
      <c r="A70" s="3" t="s">
        <v>37</v>
      </c>
      <c r="B70" s="4" t="s">
        <v>453</v>
      </c>
      <c r="C70" s="3" t="s">
        <v>454</v>
      </c>
      <c r="D70" s="4">
        <v>2</v>
      </c>
      <c r="E70" s="3" t="s">
        <v>426</v>
      </c>
      <c r="F70" s="3" t="s">
        <v>426</v>
      </c>
      <c r="G70" s="3"/>
      <c r="H70" s="3"/>
      <c r="I70" s="4">
        <v>0</v>
      </c>
      <c r="J70" s="4" t="s">
        <v>376</v>
      </c>
      <c r="K70" s="4" t="s">
        <v>424</v>
      </c>
      <c r="L70" s="3"/>
    </row>
    <row r="71" spans="1:12">
      <c r="A71" s="3" t="s">
        <v>37</v>
      </c>
      <c r="B71" s="4" t="s">
        <v>455</v>
      </c>
      <c r="C71" s="3" t="s">
        <v>456</v>
      </c>
      <c r="D71" s="4">
        <v>2</v>
      </c>
      <c r="E71" s="3" t="s">
        <v>426</v>
      </c>
      <c r="F71" s="3" t="s">
        <v>426</v>
      </c>
      <c r="G71" s="3"/>
      <c r="H71" s="3"/>
      <c r="I71" s="4">
        <v>0</v>
      </c>
      <c r="J71" s="4" t="s">
        <v>376</v>
      </c>
      <c r="K71" s="4" t="s">
        <v>424</v>
      </c>
      <c r="L71" s="3"/>
    </row>
    <row r="72" spans="1:12">
      <c r="A72" s="3" t="s">
        <v>37</v>
      </c>
      <c r="B72" s="4" t="s">
        <v>457</v>
      </c>
      <c r="C72" s="3" t="s">
        <v>458</v>
      </c>
      <c r="D72" s="4">
        <v>4</v>
      </c>
      <c r="E72" s="3" t="s">
        <v>426</v>
      </c>
      <c r="F72" s="3" t="s">
        <v>426</v>
      </c>
      <c r="G72" s="3"/>
      <c r="H72" s="3"/>
      <c r="I72" s="4">
        <v>0</v>
      </c>
      <c r="J72" s="4" t="s">
        <v>376</v>
      </c>
      <c r="K72" s="4" t="s">
        <v>424</v>
      </c>
      <c r="L72" s="3"/>
    </row>
    <row r="73" spans="1:12">
      <c r="A73" s="3" t="s">
        <v>37</v>
      </c>
      <c r="B73" s="4" t="s">
        <v>459</v>
      </c>
      <c r="C73" s="3" t="s">
        <v>460</v>
      </c>
      <c r="D73" s="4">
        <v>4</v>
      </c>
      <c r="E73" s="3" t="s">
        <v>426</v>
      </c>
      <c r="F73" s="3" t="s">
        <v>426</v>
      </c>
      <c r="G73" s="3"/>
      <c r="H73" s="3"/>
      <c r="I73" s="4">
        <v>0</v>
      </c>
      <c r="J73" s="4" t="s">
        <v>376</v>
      </c>
      <c r="K73" s="4" t="s">
        <v>424</v>
      </c>
      <c r="L73" s="3"/>
    </row>
    <row r="74" spans="1:12">
      <c r="A74" s="3" t="s">
        <v>37</v>
      </c>
      <c r="B74" s="4" t="s">
        <v>461</v>
      </c>
      <c r="C74" s="3" t="s">
        <v>462</v>
      </c>
      <c r="D74" s="4">
        <v>2</v>
      </c>
      <c r="E74" s="3" t="s">
        <v>426</v>
      </c>
      <c r="F74" s="3" t="s">
        <v>426</v>
      </c>
      <c r="G74" s="3"/>
      <c r="H74" s="3"/>
      <c r="I74" s="4">
        <v>0</v>
      </c>
      <c r="J74" s="4" t="s">
        <v>376</v>
      </c>
      <c r="K74" s="4" t="s">
        <v>424</v>
      </c>
      <c r="L74" s="3"/>
    </row>
    <row r="75" spans="1:12">
      <c r="A75" s="3" t="s">
        <v>37</v>
      </c>
      <c r="B75" s="4" t="s">
        <v>463</v>
      </c>
      <c r="C75" s="8" t="s">
        <v>464</v>
      </c>
      <c r="D75" s="4">
        <v>2</v>
      </c>
      <c r="E75" s="3" t="s">
        <v>426</v>
      </c>
      <c r="F75" s="3" t="s">
        <v>426</v>
      </c>
      <c r="G75" s="3"/>
      <c r="H75" s="3"/>
      <c r="I75" s="4">
        <v>0</v>
      </c>
      <c r="J75" s="4" t="s">
        <v>376</v>
      </c>
      <c r="K75" s="4" t="s">
        <v>424</v>
      </c>
      <c r="L75" s="3"/>
    </row>
    <row r="76" spans="1:12">
      <c r="A76" s="3" t="s">
        <v>37</v>
      </c>
      <c r="B76" s="4" t="s">
        <v>465</v>
      </c>
      <c r="C76" s="3" t="s">
        <v>466</v>
      </c>
      <c r="D76" s="4">
        <v>2</v>
      </c>
      <c r="E76" s="3" t="s">
        <v>426</v>
      </c>
      <c r="F76" s="3" t="s">
        <v>426</v>
      </c>
      <c r="G76" s="3"/>
      <c r="H76" s="3"/>
      <c r="I76" s="4">
        <v>0</v>
      </c>
      <c r="J76" s="4" t="s">
        <v>376</v>
      </c>
      <c r="K76" s="4" t="s">
        <v>424</v>
      </c>
      <c r="L76" s="3"/>
    </row>
    <row r="77" spans="1:12">
      <c r="A77" s="3" t="s">
        <v>37</v>
      </c>
      <c r="B77" s="4" t="s">
        <v>467</v>
      </c>
      <c r="C77" s="3" t="s">
        <v>468</v>
      </c>
      <c r="D77" s="4">
        <v>1</v>
      </c>
      <c r="E77" s="3" t="s">
        <v>426</v>
      </c>
      <c r="F77" s="3" t="s">
        <v>426</v>
      </c>
      <c r="G77" s="3"/>
      <c r="H77" s="3"/>
      <c r="I77" s="4">
        <v>0</v>
      </c>
      <c r="J77" s="4" t="s">
        <v>376</v>
      </c>
      <c r="K77" s="4" t="s">
        <v>424</v>
      </c>
      <c r="L77" s="3"/>
    </row>
  </sheetData>
  <mergeCells count="6">
    <mergeCell ref="A63:L63"/>
    <mergeCell ref="A18:L18"/>
    <mergeCell ref="A1:L1"/>
    <mergeCell ref="A3:L3"/>
    <mergeCell ref="A48:L48"/>
    <mergeCell ref="A33:L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zoomScaleNormal="100" workbookViewId="0">
      <pane xSplit="2" ySplit="2" topLeftCell="C3" activePane="bottomRight" state="frozen"/>
      <selection pane="topRight"/>
      <selection pane="bottomLeft"/>
      <selection pane="bottomRight" activeCell="B39" sqref="B39"/>
    </sheetView>
  </sheetViews>
  <sheetFormatPr defaultColWidth="8.85546875" defaultRowHeight="15"/>
  <cols>
    <col min="1" max="1" width="4" customWidth="1"/>
    <col min="2" max="2" width="18" customWidth="1"/>
    <col min="3" max="3" width="54" customWidth="1"/>
    <col min="4" max="4" width="26" customWidth="1"/>
    <col min="5" max="6" width="18" customWidth="1"/>
  </cols>
  <sheetData>
    <row r="1" spans="1:6" ht="26.1" customHeight="1">
      <c r="A1" s="200" t="s">
        <v>473</v>
      </c>
      <c r="B1" s="201"/>
      <c r="C1" s="201"/>
      <c r="D1" s="201"/>
      <c r="E1" s="201"/>
      <c r="F1" s="201"/>
    </row>
    <row r="2" spans="1:6">
      <c r="A2" s="1" t="s">
        <v>415</v>
      </c>
      <c r="B2" s="1" t="s">
        <v>474</v>
      </c>
      <c r="C2" s="1" t="s">
        <v>475</v>
      </c>
      <c r="D2" s="1" t="s">
        <v>476</v>
      </c>
      <c r="E2" s="1" t="s">
        <v>477</v>
      </c>
      <c r="F2" s="1" t="s">
        <v>478</v>
      </c>
    </row>
    <row r="3" spans="1:6" ht="27">
      <c r="A3" s="4">
        <v>1</v>
      </c>
      <c r="B3" s="13" t="s">
        <v>479</v>
      </c>
      <c r="C3" s="3" t="s">
        <v>480</v>
      </c>
      <c r="D3" s="3"/>
      <c r="E3" s="3"/>
      <c r="F3" s="3"/>
    </row>
    <row r="4" spans="1:6" ht="27">
      <c r="A4" s="14">
        <v>2</v>
      </c>
      <c r="B4" s="15" t="s">
        <v>479</v>
      </c>
      <c r="C4" s="15" t="s">
        <v>481</v>
      </c>
      <c r="D4" s="15"/>
      <c r="E4" s="15"/>
      <c r="F4" s="15"/>
    </row>
    <row r="5" spans="1:6" ht="27">
      <c r="A5" s="4">
        <v>3</v>
      </c>
      <c r="B5" s="3" t="s">
        <v>479</v>
      </c>
      <c r="C5" s="3" t="s">
        <v>482</v>
      </c>
      <c r="D5" s="3"/>
      <c r="E5" s="3"/>
      <c r="F5" s="3"/>
    </row>
    <row r="6" spans="1:6" ht="27">
      <c r="A6" s="14">
        <v>4</v>
      </c>
      <c r="B6" s="15" t="s">
        <v>479</v>
      </c>
      <c r="C6" s="15" t="s">
        <v>483</v>
      </c>
      <c r="D6" s="15"/>
      <c r="E6" s="15"/>
      <c r="F6" s="15"/>
    </row>
    <row r="7" spans="1:6" ht="27">
      <c r="A7" s="4">
        <v>5</v>
      </c>
      <c r="B7" s="3" t="s">
        <v>479</v>
      </c>
      <c r="C7" s="3" t="s">
        <v>484</v>
      </c>
      <c r="D7" s="3"/>
      <c r="E7" s="3"/>
      <c r="F7" s="3"/>
    </row>
    <row r="8" spans="1:6" ht="27">
      <c r="A8" s="14">
        <v>6</v>
      </c>
      <c r="B8" s="15" t="s">
        <v>479</v>
      </c>
      <c r="C8" s="15" t="s">
        <v>485</v>
      </c>
      <c r="D8" s="15"/>
      <c r="E8" s="15"/>
      <c r="F8" s="15"/>
    </row>
    <row r="9" spans="1:6" ht="27">
      <c r="A9" s="4">
        <v>7</v>
      </c>
      <c r="B9" s="13" t="s">
        <v>486</v>
      </c>
      <c r="C9" s="3" t="s">
        <v>487</v>
      </c>
      <c r="D9" s="3"/>
      <c r="E9" s="3"/>
      <c r="F9" s="3"/>
    </row>
    <row r="10" spans="1:6">
      <c r="A10" s="14">
        <v>8</v>
      </c>
      <c r="B10" s="15" t="s">
        <v>486</v>
      </c>
      <c r="C10" s="15" t="s">
        <v>488</v>
      </c>
      <c r="D10" s="15"/>
      <c r="E10" s="15"/>
      <c r="F10" s="15"/>
    </row>
    <row r="11" spans="1:6" ht="27">
      <c r="A11" s="4">
        <v>9</v>
      </c>
      <c r="B11" s="3" t="s">
        <v>486</v>
      </c>
      <c r="C11" s="3" t="s">
        <v>489</v>
      </c>
      <c r="D11" s="3"/>
      <c r="E11" s="3"/>
      <c r="F11" s="3"/>
    </row>
    <row r="12" spans="1:6">
      <c r="A12" s="14">
        <v>10</v>
      </c>
      <c r="B12" s="15" t="s">
        <v>486</v>
      </c>
      <c r="C12" s="15" t="s">
        <v>490</v>
      </c>
      <c r="D12" s="15"/>
      <c r="E12" s="15"/>
      <c r="F12" s="15"/>
    </row>
    <row r="13" spans="1:6">
      <c r="A13" s="4">
        <v>11</v>
      </c>
      <c r="B13" s="3" t="s">
        <v>486</v>
      </c>
      <c r="C13" s="3" t="s">
        <v>491</v>
      </c>
      <c r="D13" s="3"/>
      <c r="E13" s="3"/>
      <c r="F13" s="3"/>
    </row>
    <row r="14" spans="1:6">
      <c r="A14" s="14">
        <v>12</v>
      </c>
      <c r="B14" s="15" t="s">
        <v>486</v>
      </c>
      <c r="C14" s="15" t="s">
        <v>492</v>
      </c>
      <c r="D14" s="15"/>
      <c r="E14" s="15"/>
      <c r="F14" s="15"/>
    </row>
    <row r="15" spans="1:6" ht="27">
      <c r="A15" s="4">
        <v>13</v>
      </c>
      <c r="B15" s="3" t="s">
        <v>486</v>
      </c>
      <c r="C15" s="3" t="s">
        <v>493</v>
      </c>
      <c r="D15" s="3"/>
      <c r="E15" s="3"/>
      <c r="F15" s="3"/>
    </row>
    <row r="16" spans="1:6" ht="27">
      <c r="A16" s="14">
        <v>14</v>
      </c>
      <c r="B16" s="16" t="s">
        <v>494</v>
      </c>
      <c r="C16" s="15" t="s">
        <v>495</v>
      </c>
      <c r="D16" s="15"/>
      <c r="E16" s="15"/>
      <c r="F16" s="15"/>
    </row>
    <row r="17" spans="1:6" ht="27">
      <c r="A17" s="4">
        <v>15</v>
      </c>
      <c r="B17" s="3" t="s">
        <v>494</v>
      </c>
      <c r="C17" s="3" t="s">
        <v>496</v>
      </c>
      <c r="D17" s="3"/>
      <c r="E17" s="3"/>
      <c r="F17" s="3"/>
    </row>
    <row r="18" spans="1:6">
      <c r="A18" s="14">
        <v>16</v>
      </c>
      <c r="B18" s="15" t="s">
        <v>494</v>
      </c>
      <c r="C18" s="15" t="s">
        <v>497</v>
      </c>
      <c r="D18" s="15"/>
      <c r="E18" s="15"/>
      <c r="F18" s="15"/>
    </row>
    <row r="19" spans="1:6">
      <c r="A19" s="4">
        <v>17</v>
      </c>
      <c r="B19" s="3" t="s">
        <v>494</v>
      </c>
      <c r="C19" s="3" t="s">
        <v>498</v>
      </c>
      <c r="D19" s="3"/>
      <c r="E19" s="3"/>
      <c r="F19" s="3"/>
    </row>
    <row r="20" spans="1:6">
      <c r="A20" s="14">
        <v>18</v>
      </c>
      <c r="B20" s="15" t="s">
        <v>494</v>
      </c>
      <c r="C20" s="15" t="s">
        <v>499</v>
      </c>
      <c r="D20" s="15"/>
      <c r="E20" s="15"/>
      <c r="F20" s="15"/>
    </row>
    <row r="21" spans="1:6">
      <c r="A21" s="4">
        <v>19</v>
      </c>
      <c r="B21" s="13" t="s">
        <v>500</v>
      </c>
      <c r="C21" s="3" t="s">
        <v>501</v>
      </c>
      <c r="D21" s="3"/>
      <c r="E21" s="3"/>
      <c r="F21" s="3"/>
    </row>
    <row r="22" spans="1:6">
      <c r="A22" s="14">
        <v>20</v>
      </c>
      <c r="B22" s="15" t="s">
        <v>500</v>
      </c>
      <c r="C22" s="15" t="s">
        <v>502</v>
      </c>
      <c r="D22" s="15"/>
      <c r="E22" s="15"/>
      <c r="F22" s="15"/>
    </row>
    <row r="23" spans="1:6">
      <c r="A23" s="4">
        <v>21</v>
      </c>
      <c r="B23" s="3" t="s">
        <v>500</v>
      </c>
      <c r="C23" s="3" t="s">
        <v>503</v>
      </c>
      <c r="D23" s="3"/>
      <c r="E23" s="3"/>
      <c r="F23" s="3"/>
    </row>
    <row r="24" spans="1:6">
      <c r="A24" s="14">
        <v>22</v>
      </c>
      <c r="B24" s="15" t="s">
        <v>500</v>
      </c>
      <c r="C24" s="15" t="s">
        <v>504</v>
      </c>
      <c r="D24" s="15"/>
      <c r="E24" s="15"/>
      <c r="F24" s="15"/>
    </row>
    <row r="25" spans="1:6">
      <c r="A25" s="4">
        <v>23</v>
      </c>
      <c r="B25" s="3" t="s">
        <v>500</v>
      </c>
      <c r="C25" s="3" t="s">
        <v>505</v>
      </c>
      <c r="D25" s="3"/>
      <c r="E25" s="3"/>
      <c r="F25" s="3"/>
    </row>
    <row r="26" spans="1:6">
      <c r="A26" s="14">
        <v>24</v>
      </c>
      <c r="B26" s="15" t="s">
        <v>500</v>
      </c>
      <c r="C26" s="15" t="s">
        <v>506</v>
      </c>
      <c r="D26" s="15"/>
      <c r="E26" s="15"/>
      <c r="F26" s="15"/>
    </row>
    <row r="27" spans="1:6">
      <c r="A27" s="4">
        <v>25</v>
      </c>
      <c r="B27" s="3" t="s">
        <v>500</v>
      </c>
      <c r="C27" s="3" t="s">
        <v>507</v>
      </c>
      <c r="D27" s="3"/>
      <c r="E27" s="3"/>
      <c r="F27" s="3"/>
    </row>
    <row r="28" spans="1:6" ht="27">
      <c r="A28" s="14">
        <v>26</v>
      </c>
      <c r="B28" s="15" t="s">
        <v>500</v>
      </c>
      <c r="C28" s="15" t="s">
        <v>508</v>
      </c>
      <c r="D28" s="15"/>
      <c r="E28" s="15"/>
      <c r="F28" s="15"/>
    </row>
    <row r="29" spans="1:6">
      <c r="A29" s="4">
        <v>27</v>
      </c>
      <c r="B29" s="3" t="s">
        <v>500</v>
      </c>
      <c r="C29" s="3" t="s">
        <v>509</v>
      </c>
      <c r="D29" s="3"/>
      <c r="E29" s="3"/>
      <c r="F29" s="3"/>
    </row>
    <row r="30" spans="1:6">
      <c r="A30" s="14">
        <v>28</v>
      </c>
      <c r="B30" s="16" t="s">
        <v>510</v>
      </c>
      <c r="C30" s="15" t="s">
        <v>511</v>
      </c>
      <c r="D30" s="15"/>
      <c r="E30" s="15"/>
      <c r="F30" s="15"/>
    </row>
    <row r="31" spans="1:6">
      <c r="A31" s="4">
        <v>29</v>
      </c>
      <c r="B31" s="3" t="s">
        <v>510</v>
      </c>
      <c r="C31" s="3" t="s">
        <v>512</v>
      </c>
      <c r="D31" s="3"/>
      <c r="E31" s="3"/>
      <c r="F31" s="3"/>
    </row>
    <row r="32" spans="1:6" ht="27">
      <c r="A32" s="14">
        <v>30</v>
      </c>
      <c r="B32" s="16" t="s">
        <v>513</v>
      </c>
      <c r="C32" s="15" t="s">
        <v>514</v>
      </c>
      <c r="D32" s="15"/>
      <c r="E32" s="15"/>
      <c r="F32" s="15"/>
    </row>
    <row r="33" spans="1:6">
      <c r="A33" s="4">
        <v>31</v>
      </c>
      <c r="B33" s="3" t="s">
        <v>513</v>
      </c>
      <c r="C33" s="3" t="s">
        <v>515</v>
      </c>
      <c r="D33" s="3"/>
      <c r="E33" s="3"/>
      <c r="F33" s="3"/>
    </row>
    <row r="34" spans="1:6">
      <c r="A34" s="14">
        <v>32</v>
      </c>
      <c r="B34" s="15" t="s">
        <v>513</v>
      </c>
      <c r="C34" s="15" t="s">
        <v>516</v>
      </c>
      <c r="D34" s="15"/>
      <c r="E34" s="15"/>
      <c r="F34" s="15"/>
    </row>
    <row r="35" spans="1:6">
      <c r="A35" s="4">
        <v>33</v>
      </c>
      <c r="B35" s="3" t="s">
        <v>513</v>
      </c>
      <c r="C35" s="3" t="s">
        <v>517</v>
      </c>
      <c r="D35" s="3"/>
      <c r="E35" s="3"/>
      <c r="F35" s="3"/>
    </row>
    <row r="36" spans="1:6">
      <c r="A36" s="14">
        <v>34</v>
      </c>
      <c r="B36" s="16" t="s">
        <v>518</v>
      </c>
      <c r="C36" s="15" t="s">
        <v>519</v>
      </c>
      <c r="D36" s="15"/>
      <c r="E36" s="15"/>
      <c r="F36" s="15"/>
    </row>
    <row r="37" spans="1:6" ht="27">
      <c r="A37" s="4">
        <v>35</v>
      </c>
      <c r="B37" s="3" t="s">
        <v>518</v>
      </c>
      <c r="C37" s="3" t="s">
        <v>520</v>
      </c>
      <c r="D37" s="3"/>
      <c r="E37" s="3"/>
      <c r="F37" s="3"/>
    </row>
    <row r="38" spans="1:6">
      <c r="A38" s="14">
        <v>36</v>
      </c>
      <c r="B38" s="15" t="s">
        <v>518</v>
      </c>
      <c r="C38" s="15" t="s">
        <v>521</v>
      </c>
      <c r="D38" s="15"/>
      <c r="E38" s="15"/>
      <c r="F38" s="15"/>
    </row>
    <row r="39" spans="1:6">
      <c r="A39" s="4">
        <v>37</v>
      </c>
      <c r="B39" s="3" t="s">
        <v>518</v>
      </c>
      <c r="C39" s="3" t="s">
        <v>522</v>
      </c>
      <c r="D39" s="3"/>
      <c r="E39" s="3"/>
      <c r="F39" s="3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zoomScale="80" zoomScaleNormal="80" workbookViewId="0">
      <pane xSplit="1" ySplit="2" topLeftCell="B3" activePane="bottomRight" state="frozen"/>
      <selection pane="topRight"/>
      <selection pane="bottomLeft"/>
      <selection pane="bottomRight" activeCell="B10" sqref="B10"/>
    </sheetView>
  </sheetViews>
  <sheetFormatPr defaultColWidth="8.85546875" defaultRowHeight="15"/>
  <cols>
    <col min="1" max="1" width="4" customWidth="1"/>
    <col min="2" max="2" width="22" customWidth="1"/>
    <col min="3" max="4" width="26" customWidth="1"/>
    <col min="5" max="5" width="10" customWidth="1"/>
    <col min="6" max="6" width="14" customWidth="1"/>
    <col min="7" max="7" width="12" customWidth="1"/>
    <col min="8" max="8" width="11" customWidth="1"/>
    <col min="9" max="9" width="9" customWidth="1"/>
    <col min="10" max="10" width="8" customWidth="1"/>
    <col min="11" max="11" width="9" customWidth="1"/>
  </cols>
  <sheetData>
    <row r="1" spans="1:11" ht="26.1" customHeight="1">
      <c r="A1" s="200" t="s">
        <v>535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1">
      <c r="A2" s="1" t="s">
        <v>415</v>
      </c>
      <c r="B2" s="1" t="s">
        <v>536</v>
      </c>
      <c r="C2" s="1" t="s">
        <v>537</v>
      </c>
      <c r="D2" s="1" t="s">
        <v>538</v>
      </c>
      <c r="E2" s="1" t="s">
        <v>539</v>
      </c>
      <c r="F2" s="1" t="s">
        <v>540</v>
      </c>
      <c r="G2" s="1" t="s">
        <v>541</v>
      </c>
      <c r="H2" s="1" t="s">
        <v>542</v>
      </c>
      <c r="I2" s="1" t="s">
        <v>543</v>
      </c>
      <c r="J2" s="1" t="s">
        <v>544</v>
      </c>
      <c r="K2" s="1" t="s">
        <v>545</v>
      </c>
    </row>
    <row r="3" spans="1:11" ht="30" customHeight="1">
      <c r="A3" s="4" t="s">
        <v>441</v>
      </c>
      <c r="B3" s="3" t="s">
        <v>546</v>
      </c>
      <c r="C3" s="3" t="s">
        <v>547</v>
      </c>
      <c r="D3" s="3" t="s">
        <v>548</v>
      </c>
      <c r="E3" s="9" t="s">
        <v>549</v>
      </c>
      <c r="F3" s="5" t="s">
        <v>550</v>
      </c>
      <c r="G3" s="10" t="s">
        <v>551</v>
      </c>
      <c r="H3" s="4" t="s">
        <v>552</v>
      </c>
      <c r="I3" s="4" t="s">
        <v>553</v>
      </c>
      <c r="J3" s="4" t="s">
        <v>533</v>
      </c>
      <c r="K3" s="4" t="s">
        <v>554</v>
      </c>
    </row>
    <row r="4" spans="1:11" ht="30" customHeight="1">
      <c r="A4" s="4" t="s">
        <v>443</v>
      </c>
      <c r="B4" s="3" t="s">
        <v>555</v>
      </c>
      <c r="C4" s="3" t="s">
        <v>556</v>
      </c>
      <c r="D4" s="3" t="s">
        <v>557</v>
      </c>
      <c r="E4" s="9" t="s">
        <v>558</v>
      </c>
      <c r="F4" s="5" t="s">
        <v>559</v>
      </c>
      <c r="G4" s="10" t="s">
        <v>560</v>
      </c>
      <c r="H4" s="4" t="s">
        <v>552</v>
      </c>
      <c r="I4" s="4" t="s">
        <v>553</v>
      </c>
      <c r="J4" s="4" t="s">
        <v>533</v>
      </c>
      <c r="K4" s="4" t="s">
        <v>554</v>
      </c>
    </row>
    <row r="5" spans="1:11" ht="30" customHeight="1">
      <c r="A5" s="4" t="s">
        <v>445</v>
      </c>
      <c r="B5" s="2" t="s">
        <v>528</v>
      </c>
      <c r="C5" s="3" t="s">
        <v>561</v>
      </c>
      <c r="D5" s="3" t="s">
        <v>562</v>
      </c>
      <c r="E5" s="9" t="s">
        <v>563</v>
      </c>
      <c r="F5" s="5" t="s">
        <v>564</v>
      </c>
      <c r="G5" s="10" t="s">
        <v>565</v>
      </c>
      <c r="H5" s="11" t="s">
        <v>566</v>
      </c>
      <c r="I5" s="4" t="s">
        <v>553</v>
      </c>
      <c r="J5" s="4" t="s">
        <v>533</v>
      </c>
      <c r="K5" s="4" t="s">
        <v>554</v>
      </c>
    </row>
    <row r="6" spans="1:11" ht="30" customHeight="1">
      <c r="A6" s="4" t="s">
        <v>447</v>
      </c>
      <c r="B6" s="3" t="s">
        <v>567</v>
      </c>
      <c r="C6" s="3" t="s">
        <v>568</v>
      </c>
      <c r="D6" s="3" t="s">
        <v>569</v>
      </c>
      <c r="E6" s="9" t="s">
        <v>553</v>
      </c>
      <c r="F6" s="5" t="s">
        <v>570</v>
      </c>
      <c r="G6" s="10" t="s">
        <v>571</v>
      </c>
      <c r="H6" s="4" t="s">
        <v>552</v>
      </c>
      <c r="I6" s="4" t="s">
        <v>553</v>
      </c>
      <c r="J6" s="4" t="s">
        <v>533</v>
      </c>
      <c r="K6" s="4" t="s">
        <v>554</v>
      </c>
    </row>
    <row r="7" spans="1:11" ht="30" customHeight="1">
      <c r="A7" s="4" t="s">
        <v>449</v>
      </c>
      <c r="B7" s="3" t="s">
        <v>572</v>
      </c>
      <c r="C7" s="3" t="s">
        <v>573</v>
      </c>
      <c r="D7" s="3" t="s">
        <v>574</v>
      </c>
      <c r="E7" s="9" t="s">
        <v>575</v>
      </c>
      <c r="F7" s="5" t="s">
        <v>576</v>
      </c>
      <c r="G7" s="10" t="s">
        <v>577</v>
      </c>
      <c r="H7" s="4" t="s">
        <v>552</v>
      </c>
      <c r="I7" s="4" t="s">
        <v>553</v>
      </c>
      <c r="J7" s="4" t="s">
        <v>533</v>
      </c>
      <c r="K7" s="4" t="s">
        <v>554</v>
      </c>
    </row>
    <row r="8" spans="1:11" ht="30" customHeight="1">
      <c r="A8" s="4" t="s">
        <v>451</v>
      </c>
      <c r="B8" s="3" t="s">
        <v>578</v>
      </c>
      <c r="C8" s="3" t="s">
        <v>579</v>
      </c>
      <c r="D8" s="3" t="s">
        <v>580</v>
      </c>
      <c r="E8" s="9" t="s">
        <v>549</v>
      </c>
      <c r="F8" s="5" t="s">
        <v>550</v>
      </c>
      <c r="G8" s="10" t="s">
        <v>551</v>
      </c>
      <c r="H8" s="4" t="s">
        <v>552</v>
      </c>
      <c r="I8" s="4" t="s">
        <v>553</v>
      </c>
      <c r="J8" s="4" t="s">
        <v>533</v>
      </c>
      <c r="K8" s="4" t="s">
        <v>554</v>
      </c>
    </row>
    <row r="9" spans="1:11" ht="30" customHeight="1">
      <c r="A9" s="4" t="s">
        <v>453</v>
      </c>
      <c r="B9" s="2" t="s">
        <v>529</v>
      </c>
      <c r="C9" s="3" t="s">
        <v>581</v>
      </c>
      <c r="D9" s="3" t="s">
        <v>582</v>
      </c>
      <c r="E9" s="9" t="s">
        <v>563</v>
      </c>
      <c r="F9" s="5" t="s">
        <v>583</v>
      </c>
      <c r="G9" s="10" t="s">
        <v>584</v>
      </c>
      <c r="H9" s="11" t="s">
        <v>566</v>
      </c>
      <c r="I9" s="4" t="s">
        <v>553</v>
      </c>
      <c r="J9" s="4" t="s">
        <v>533</v>
      </c>
      <c r="K9" s="4" t="s">
        <v>554</v>
      </c>
    </row>
    <row r="10" spans="1:11" ht="30" customHeight="1">
      <c r="A10" s="21">
        <v>8</v>
      </c>
      <c r="B10" s="20" t="s">
        <v>585</v>
      </c>
      <c r="C10" s="20"/>
      <c r="D10" s="20" t="s">
        <v>586</v>
      </c>
      <c r="E10" s="50"/>
      <c r="F10" s="51"/>
      <c r="G10" s="10"/>
      <c r="H10" s="4"/>
      <c r="I10" s="4"/>
      <c r="J10" s="4"/>
      <c r="K10" s="4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pane ySplit="2" topLeftCell="A3" activePane="bottomLeft" state="frozen"/>
      <selection pane="bottomLeft" activeCell="A3" sqref="A3"/>
    </sheetView>
  </sheetViews>
  <sheetFormatPr defaultColWidth="8.85546875" defaultRowHeight="15"/>
  <cols>
    <col min="1" max="1" width="18" customWidth="1"/>
    <col min="2" max="2" width="42" customWidth="1"/>
    <col min="3" max="3" width="10" customWidth="1"/>
    <col min="4" max="4" width="22" customWidth="1"/>
    <col min="5" max="6" width="20" customWidth="1"/>
    <col min="7" max="7" width="10" customWidth="1"/>
  </cols>
  <sheetData>
    <row r="1" spans="1:7" ht="26.1" customHeight="1">
      <c r="A1" s="200" t="s">
        <v>587</v>
      </c>
      <c r="B1" s="201"/>
      <c r="C1" s="201"/>
      <c r="D1" s="201"/>
      <c r="E1" s="201"/>
      <c r="F1" s="201"/>
      <c r="G1" s="201"/>
    </row>
    <row r="2" spans="1:7" ht="27">
      <c r="A2" s="1" t="s">
        <v>401</v>
      </c>
      <c r="B2" s="1" t="s">
        <v>588</v>
      </c>
      <c r="C2" s="1" t="s">
        <v>589</v>
      </c>
      <c r="D2" s="1" t="s">
        <v>590</v>
      </c>
      <c r="E2" s="1" t="s">
        <v>591</v>
      </c>
      <c r="F2" s="1" t="s">
        <v>592</v>
      </c>
      <c r="G2" s="1" t="s">
        <v>593</v>
      </c>
    </row>
    <row r="3" spans="1:7" ht="26.1" customHeight="1">
      <c r="A3" s="3" t="s">
        <v>594</v>
      </c>
      <c r="B3" s="3" t="s">
        <v>595</v>
      </c>
      <c r="C3" s="4" t="s">
        <v>329</v>
      </c>
      <c r="D3" s="3"/>
      <c r="E3" s="3"/>
      <c r="F3" s="3"/>
      <c r="G3" s="4"/>
    </row>
    <row r="4" spans="1:7" ht="26.1" customHeight="1">
      <c r="A4" s="3" t="s">
        <v>594</v>
      </c>
      <c r="B4" s="3" t="s">
        <v>596</v>
      </c>
      <c r="C4" s="4" t="s">
        <v>329</v>
      </c>
      <c r="D4" s="3"/>
      <c r="E4" s="3"/>
      <c r="F4" s="3"/>
      <c r="G4" s="4"/>
    </row>
    <row r="5" spans="1:7" ht="26.1" customHeight="1">
      <c r="A5" s="3" t="s">
        <v>597</v>
      </c>
      <c r="B5" s="3" t="s">
        <v>598</v>
      </c>
      <c r="C5" s="4" t="s">
        <v>329</v>
      </c>
      <c r="D5" s="3"/>
      <c r="E5" s="3"/>
      <c r="F5" s="3"/>
      <c r="G5" s="4"/>
    </row>
    <row r="6" spans="1:7" ht="26.1" customHeight="1">
      <c r="A6" s="3" t="s">
        <v>597</v>
      </c>
      <c r="B6" s="3" t="s">
        <v>599</v>
      </c>
      <c r="C6" s="4" t="s">
        <v>329</v>
      </c>
      <c r="D6" s="3"/>
      <c r="E6" s="3"/>
      <c r="F6" s="3"/>
      <c r="G6" s="4"/>
    </row>
    <row r="7" spans="1:7" ht="26.1" customHeight="1">
      <c r="A7" s="3" t="s">
        <v>600</v>
      </c>
      <c r="B7" s="3" t="s">
        <v>601</v>
      </c>
      <c r="C7" s="4" t="s">
        <v>329</v>
      </c>
      <c r="D7" s="3"/>
      <c r="E7" s="3"/>
      <c r="F7" s="3"/>
      <c r="G7" s="4"/>
    </row>
    <row r="8" spans="1:7" ht="26.1" customHeight="1">
      <c r="A8" s="3" t="s">
        <v>600</v>
      </c>
      <c r="B8" s="12" t="s">
        <v>393</v>
      </c>
      <c r="C8" s="4" t="s">
        <v>329</v>
      </c>
      <c r="D8" s="3"/>
      <c r="E8" s="3"/>
      <c r="F8" s="3"/>
      <c r="G8" s="4"/>
    </row>
    <row r="9" spans="1:7" ht="26.1" customHeight="1">
      <c r="A9" s="3" t="s">
        <v>602</v>
      </c>
      <c r="B9" s="12" t="s">
        <v>396</v>
      </c>
      <c r="C9" s="4" t="s">
        <v>329</v>
      </c>
      <c r="D9" s="3"/>
      <c r="E9" s="3"/>
      <c r="F9" s="3"/>
      <c r="G9" s="4"/>
    </row>
    <row r="10" spans="1:7" ht="26.1" customHeight="1">
      <c r="A10" s="3" t="s">
        <v>602</v>
      </c>
      <c r="B10" s="12" t="s">
        <v>603</v>
      </c>
      <c r="C10" s="4" t="s">
        <v>329</v>
      </c>
      <c r="D10" s="3"/>
      <c r="E10" s="3"/>
      <c r="F10" s="3"/>
      <c r="G10" s="4"/>
    </row>
    <row r="11" spans="1:7" ht="26.1" customHeight="1">
      <c r="A11" s="3" t="s">
        <v>604</v>
      </c>
      <c r="B11" s="3" t="s">
        <v>605</v>
      </c>
      <c r="C11" s="4" t="s">
        <v>329</v>
      </c>
      <c r="D11" s="3"/>
      <c r="E11" s="3"/>
      <c r="F11" s="3"/>
      <c r="G11" s="4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zoomScale="80" zoomScaleNormal="80" workbookViewId="0">
      <pane xSplit="1" ySplit="2" topLeftCell="B3" activePane="bottomRight" state="frozen"/>
      <selection pane="topRight"/>
      <selection pane="bottomLeft"/>
      <selection pane="bottomRight" activeCell="K10" sqref="K10"/>
    </sheetView>
  </sheetViews>
  <sheetFormatPr defaultColWidth="8.85546875" defaultRowHeight="15"/>
  <cols>
    <col min="1" max="1" width="4" customWidth="1"/>
    <col min="2" max="2" width="18" customWidth="1"/>
    <col min="3" max="3" width="14" customWidth="1"/>
    <col min="4" max="4" width="22.42578125" customWidth="1"/>
    <col min="5" max="5" width="10" customWidth="1"/>
    <col min="6" max="6" width="14" customWidth="1"/>
    <col min="7" max="7" width="16" customWidth="1"/>
    <col min="8" max="8" width="13" customWidth="1"/>
    <col min="9" max="9" width="14" customWidth="1"/>
    <col min="10" max="10" width="12" customWidth="1"/>
    <col min="11" max="11" width="20" customWidth="1"/>
  </cols>
  <sheetData>
    <row r="1" spans="1:11" ht="26.1" customHeight="1">
      <c r="A1" s="200" t="s">
        <v>606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1" ht="27">
      <c r="A2" s="1" t="s">
        <v>415</v>
      </c>
      <c r="B2" s="1" t="s">
        <v>607</v>
      </c>
      <c r="C2" s="1" t="s">
        <v>608</v>
      </c>
      <c r="D2" s="1" t="s">
        <v>609</v>
      </c>
      <c r="E2" s="1" t="s">
        <v>610</v>
      </c>
      <c r="F2" s="1" t="s">
        <v>611</v>
      </c>
      <c r="G2" s="1" t="s">
        <v>612</v>
      </c>
      <c r="H2" s="1" t="s">
        <v>613</v>
      </c>
      <c r="I2" s="1" t="s">
        <v>614</v>
      </c>
      <c r="J2" s="1" t="s">
        <v>615</v>
      </c>
      <c r="K2" s="1" t="s">
        <v>439</v>
      </c>
    </row>
    <row r="3" spans="1:11">
      <c r="A3" s="4">
        <v>1</v>
      </c>
      <c r="B3" s="3"/>
      <c r="C3" s="3"/>
      <c r="D3" s="4"/>
      <c r="E3" s="4" t="s">
        <v>424</v>
      </c>
      <c r="F3" s="3"/>
      <c r="G3" s="4" t="s">
        <v>424</v>
      </c>
      <c r="H3" s="4" t="s">
        <v>616</v>
      </c>
      <c r="I3" s="3"/>
      <c r="J3" s="4" t="s">
        <v>424</v>
      </c>
      <c r="K3" s="3"/>
    </row>
    <row r="4" spans="1:11">
      <c r="A4" s="4">
        <v>2</v>
      </c>
      <c r="B4" s="3"/>
      <c r="C4" s="3"/>
      <c r="D4" s="4"/>
      <c r="E4" s="4" t="s">
        <v>424</v>
      </c>
      <c r="F4" s="3"/>
      <c r="G4" s="4" t="s">
        <v>424</v>
      </c>
      <c r="H4" s="4" t="s">
        <v>616</v>
      </c>
      <c r="I4" s="3"/>
      <c r="J4" s="4" t="s">
        <v>424</v>
      </c>
      <c r="K4" s="3"/>
    </row>
    <row r="5" spans="1:11">
      <c r="A5" s="4">
        <v>3</v>
      </c>
      <c r="B5" s="3"/>
      <c r="C5" s="3"/>
      <c r="D5" s="4"/>
      <c r="E5" s="4" t="s">
        <v>424</v>
      </c>
      <c r="F5" s="3"/>
      <c r="G5" s="4" t="s">
        <v>424</v>
      </c>
      <c r="H5" s="4" t="s">
        <v>616</v>
      </c>
      <c r="I5" s="3"/>
      <c r="J5" s="4" t="s">
        <v>424</v>
      </c>
      <c r="K5" s="3"/>
    </row>
    <row r="6" spans="1:11">
      <c r="A6" s="4">
        <v>4</v>
      </c>
      <c r="B6" s="3"/>
      <c r="C6" s="3"/>
      <c r="D6" s="4"/>
      <c r="E6" s="4" t="s">
        <v>424</v>
      </c>
      <c r="F6" s="3"/>
      <c r="G6" s="4" t="s">
        <v>424</v>
      </c>
      <c r="H6" s="4" t="s">
        <v>616</v>
      </c>
      <c r="I6" s="3"/>
      <c r="J6" s="4" t="s">
        <v>424</v>
      </c>
      <c r="K6" s="3"/>
    </row>
    <row r="7" spans="1:11">
      <c r="A7" s="4">
        <v>5</v>
      </c>
      <c r="B7" s="3"/>
      <c r="C7" s="3"/>
      <c r="D7" s="4"/>
      <c r="E7" s="4" t="s">
        <v>424</v>
      </c>
      <c r="F7" s="3"/>
      <c r="G7" s="4" t="s">
        <v>424</v>
      </c>
      <c r="H7" s="4" t="s">
        <v>616</v>
      </c>
      <c r="I7" s="3"/>
      <c r="J7" s="4" t="s">
        <v>424</v>
      </c>
      <c r="K7" s="3"/>
    </row>
    <row r="8" spans="1:11">
      <c r="A8" s="4">
        <v>6</v>
      </c>
      <c r="B8" s="3"/>
      <c r="C8" s="3"/>
      <c r="D8" s="4"/>
      <c r="E8" s="4" t="s">
        <v>424</v>
      </c>
      <c r="F8" s="3"/>
      <c r="G8" s="4" t="s">
        <v>424</v>
      </c>
      <c r="H8" s="4" t="s">
        <v>616</v>
      </c>
      <c r="I8" s="3"/>
      <c r="J8" s="4" t="s">
        <v>424</v>
      </c>
      <c r="K8" s="3"/>
    </row>
    <row r="9" spans="1:11">
      <c r="A9" s="4">
        <v>7</v>
      </c>
      <c r="B9" s="3"/>
      <c r="C9" s="3"/>
      <c r="D9" s="4"/>
      <c r="E9" s="4" t="s">
        <v>424</v>
      </c>
      <c r="F9" s="3"/>
      <c r="G9" s="4" t="s">
        <v>424</v>
      </c>
      <c r="H9" s="4" t="s">
        <v>616</v>
      </c>
      <c r="I9" s="3"/>
      <c r="J9" s="4" t="s">
        <v>424</v>
      </c>
      <c r="K9" s="3"/>
    </row>
    <row r="10" spans="1:11">
      <c r="A10" s="4">
        <v>8</v>
      </c>
      <c r="B10" s="3"/>
      <c r="C10" s="3"/>
      <c r="D10" s="4"/>
      <c r="E10" s="4" t="s">
        <v>424</v>
      </c>
      <c r="F10" s="3"/>
      <c r="G10" s="4" t="s">
        <v>424</v>
      </c>
      <c r="H10" s="4" t="s">
        <v>616</v>
      </c>
      <c r="I10" s="3"/>
      <c r="J10" s="4" t="s">
        <v>424</v>
      </c>
      <c r="K10" s="3"/>
    </row>
    <row r="11" spans="1:11">
      <c r="A11" s="4">
        <v>9</v>
      </c>
      <c r="B11" s="3"/>
      <c r="C11" s="3"/>
      <c r="D11" s="4"/>
      <c r="E11" s="4" t="s">
        <v>424</v>
      </c>
      <c r="F11" s="3"/>
      <c r="G11" s="4" t="s">
        <v>424</v>
      </c>
      <c r="H11" s="4" t="s">
        <v>616</v>
      </c>
      <c r="I11" s="3"/>
      <c r="J11" s="4" t="s">
        <v>424</v>
      </c>
      <c r="K11" s="3"/>
    </row>
    <row r="12" spans="1:11">
      <c r="A12" s="4">
        <v>10</v>
      </c>
      <c r="B12" s="3"/>
      <c r="C12" s="3"/>
      <c r="D12" s="4"/>
      <c r="E12" s="4" t="s">
        <v>424</v>
      </c>
      <c r="F12" s="3"/>
      <c r="G12" s="4" t="s">
        <v>424</v>
      </c>
      <c r="H12" s="4" t="s">
        <v>616</v>
      </c>
      <c r="I12" s="3"/>
      <c r="J12" s="4" t="s">
        <v>424</v>
      </c>
      <c r="K12" s="3"/>
    </row>
    <row r="13" spans="1:11">
      <c r="A13" s="4">
        <v>11</v>
      </c>
      <c r="B13" s="3"/>
      <c r="C13" s="3"/>
      <c r="D13" s="4"/>
      <c r="E13" s="4" t="s">
        <v>424</v>
      </c>
      <c r="F13" s="3"/>
      <c r="G13" s="4" t="s">
        <v>424</v>
      </c>
      <c r="H13" s="4" t="s">
        <v>616</v>
      </c>
      <c r="I13" s="3"/>
      <c r="J13" s="4" t="s">
        <v>424</v>
      </c>
      <c r="K13" s="3"/>
    </row>
    <row r="14" spans="1:11">
      <c r="A14" s="4">
        <v>12</v>
      </c>
      <c r="B14" s="3"/>
      <c r="C14" s="3"/>
      <c r="D14" s="4"/>
      <c r="E14" s="4" t="s">
        <v>424</v>
      </c>
      <c r="F14" s="3"/>
      <c r="G14" s="4" t="s">
        <v>424</v>
      </c>
      <c r="H14" s="4" t="s">
        <v>616</v>
      </c>
      <c r="I14" s="3"/>
      <c r="J14" s="4" t="s">
        <v>424</v>
      </c>
      <c r="K14" s="3"/>
    </row>
    <row r="15" spans="1:11">
      <c r="A15" s="4">
        <v>13</v>
      </c>
      <c r="B15" s="3"/>
      <c r="C15" s="3"/>
      <c r="D15" s="4"/>
      <c r="E15" s="4" t="s">
        <v>424</v>
      </c>
      <c r="F15" s="3"/>
      <c r="G15" s="4" t="s">
        <v>424</v>
      </c>
      <c r="H15" s="4" t="s">
        <v>616</v>
      </c>
      <c r="I15" s="3"/>
      <c r="J15" s="4" t="s">
        <v>424</v>
      </c>
      <c r="K15" s="3"/>
    </row>
    <row r="16" spans="1:11">
      <c r="A16" s="4">
        <v>14</v>
      </c>
      <c r="B16" s="3"/>
      <c r="C16" s="3"/>
      <c r="D16" s="4"/>
      <c r="E16" s="4" t="s">
        <v>424</v>
      </c>
      <c r="F16" s="3"/>
      <c r="G16" s="4" t="s">
        <v>424</v>
      </c>
      <c r="H16" s="4" t="s">
        <v>616</v>
      </c>
      <c r="I16" s="3"/>
      <c r="J16" s="4" t="s">
        <v>424</v>
      </c>
      <c r="K16" s="3"/>
    </row>
    <row r="17" spans="1:11">
      <c r="A17" s="4">
        <v>15</v>
      </c>
      <c r="B17" s="3"/>
      <c r="C17" s="3"/>
      <c r="D17" s="4"/>
      <c r="E17" s="4" t="s">
        <v>424</v>
      </c>
      <c r="F17" s="3"/>
      <c r="G17" s="4" t="s">
        <v>424</v>
      </c>
      <c r="H17" s="4" t="s">
        <v>616</v>
      </c>
      <c r="I17" s="3"/>
      <c r="J17" s="4" t="s">
        <v>424</v>
      </c>
      <c r="K17" s="3"/>
    </row>
    <row r="18" spans="1:11">
      <c r="A18" s="4">
        <v>16</v>
      </c>
      <c r="B18" s="3"/>
      <c r="C18" s="3"/>
      <c r="D18" s="4"/>
      <c r="E18" s="4" t="s">
        <v>424</v>
      </c>
      <c r="F18" s="3"/>
      <c r="G18" s="4" t="s">
        <v>424</v>
      </c>
      <c r="H18" s="4" t="s">
        <v>616</v>
      </c>
      <c r="I18" s="3"/>
      <c r="J18" s="4" t="s">
        <v>424</v>
      </c>
      <c r="K18" s="3"/>
    </row>
    <row r="19" spans="1:11">
      <c r="A19" s="4">
        <v>17</v>
      </c>
      <c r="B19" s="3"/>
      <c r="C19" s="3"/>
      <c r="D19" s="4"/>
      <c r="E19" s="4" t="s">
        <v>424</v>
      </c>
      <c r="F19" s="3"/>
      <c r="G19" s="4" t="s">
        <v>424</v>
      </c>
      <c r="H19" s="4" t="s">
        <v>616</v>
      </c>
      <c r="I19" s="3"/>
      <c r="J19" s="4" t="s">
        <v>424</v>
      </c>
      <c r="K19" s="3"/>
    </row>
    <row r="20" spans="1:11">
      <c r="A20" s="4">
        <v>18</v>
      </c>
      <c r="B20" s="3"/>
      <c r="C20" s="3"/>
      <c r="D20" s="4"/>
      <c r="E20" s="4" t="s">
        <v>424</v>
      </c>
      <c r="F20" s="3"/>
      <c r="G20" s="4" t="s">
        <v>424</v>
      </c>
      <c r="H20" s="4" t="s">
        <v>616</v>
      </c>
      <c r="I20" s="3"/>
      <c r="J20" s="4" t="s">
        <v>424</v>
      </c>
      <c r="K20" s="3"/>
    </row>
    <row r="21" spans="1:11">
      <c r="A21" s="4">
        <v>19</v>
      </c>
      <c r="B21" s="3"/>
      <c r="C21" s="3"/>
      <c r="D21" s="4"/>
      <c r="E21" s="4" t="s">
        <v>424</v>
      </c>
      <c r="F21" s="3"/>
      <c r="G21" s="4" t="s">
        <v>424</v>
      </c>
      <c r="H21" s="4" t="s">
        <v>616</v>
      </c>
      <c r="I21" s="3"/>
      <c r="J21" s="4" t="s">
        <v>424</v>
      </c>
      <c r="K21" s="3"/>
    </row>
    <row r="22" spans="1:11">
      <c r="A22" s="4">
        <v>20</v>
      </c>
      <c r="B22" s="3"/>
      <c r="C22" s="3"/>
      <c r="D22" s="4"/>
      <c r="E22" s="4" t="s">
        <v>424</v>
      </c>
      <c r="F22" s="3"/>
      <c r="G22" s="4" t="s">
        <v>424</v>
      </c>
      <c r="H22" s="4" t="s">
        <v>616</v>
      </c>
      <c r="I22" s="3"/>
      <c r="J22" s="4" t="s">
        <v>424</v>
      </c>
      <c r="K22" s="3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="90" zoomScaleNormal="90" workbookViewId="0">
      <selection activeCell="C5" sqref="C5"/>
    </sheetView>
  </sheetViews>
  <sheetFormatPr defaultColWidth="8.85546875" defaultRowHeight="15"/>
  <cols>
    <col min="1" max="1" width="10" customWidth="1"/>
    <col min="2" max="2" width="18" customWidth="1"/>
    <col min="3" max="3" width="44" customWidth="1"/>
    <col min="4" max="4" width="20" customWidth="1"/>
    <col min="5" max="5" width="24" customWidth="1"/>
    <col min="6" max="6" width="18" customWidth="1"/>
  </cols>
  <sheetData>
    <row r="1" spans="1:6" ht="26.1" customHeight="1">
      <c r="A1" s="200" t="s">
        <v>617</v>
      </c>
      <c r="B1" s="201"/>
      <c r="C1" s="201"/>
      <c r="D1" s="201"/>
      <c r="E1" s="201"/>
      <c r="F1" s="201"/>
    </row>
    <row r="2" spans="1:6" ht="15.95" customHeight="1">
      <c r="A2" s="216" t="s">
        <v>618</v>
      </c>
      <c r="B2" s="201"/>
      <c r="C2" s="201"/>
      <c r="D2" s="201"/>
      <c r="E2" s="201"/>
      <c r="F2" s="201"/>
    </row>
    <row r="4" spans="1:6">
      <c r="A4" s="1" t="s">
        <v>619</v>
      </c>
      <c r="B4" s="1" t="s">
        <v>620</v>
      </c>
      <c r="C4" s="1" t="s">
        <v>621</v>
      </c>
      <c r="D4" s="1" t="s">
        <v>622</v>
      </c>
      <c r="E4" s="1" t="s">
        <v>623</v>
      </c>
      <c r="F4" s="1" t="s">
        <v>624</v>
      </c>
    </row>
    <row r="5" spans="1:6" ht="33.950000000000003" customHeight="1">
      <c r="A5" s="2" t="s">
        <v>625</v>
      </c>
      <c r="B5" s="3" t="s">
        <v>626</v>
      </c>
      <c r="C5" s="3" t="s">
        <v>627</v>
      </c>
      <c r="D5" s="3" t="s">
        <v>628</v>
      </c>
      <c r="E5" s="3" t="s">
        <v>629</v>
      </c>
      <c r="F5" s="3" t="s">
        <v>630</v>
      </c>
    </row>
    <row r="6" spans="1:6" ht="33.950000000000003" customHeight="1">
      <c r="A6" s="2" t="s">
        <v>631</v>
      </c>
      <c r="B6" s="3" t="s">
        <v>632</v>
      </c>
      <c r="C6" s="3" t="s">
        <v>633</v>
      </c>
      <c r="D6" s="3" t="s">
        <v>634</v>
      </c>
      <c r="E6" s="3" t="s">
        <v>635</v>
      </c>
      <c r="F6" s="3" t="s">
        <v>636</v>
      </c>
    </row>
    <row r="7" spans="1:6" ht="33.950000000000003" customHeight="1">
      <c r="A7" s="2" t="s">
        <v>637</v>
      </c>
      <c r="B7" s="3" t="s">
        <v>638</v>
      </c>
      <c r="C7" s="3" t="s">
        <v>639</v>
      </c>
      <c r="D7" s="3" t="s">
        <v>640</v>
      </c>
      <c r="E7" s="3" t="s">
        <v>641</v>
      </c>
      <c r="F7" s="3" t="s">
        <v>642</v>
      </c>
    </row>
    <row r="8" spans="1:6" ht="33.950000000000003" customHeight="1">
      <c r="A8" s="2" t="s">
        <v>643</v>
      </c>
      <c r="B8" s="3" t="s">
        <v>644</v>
      </c>
      <c r="C8" s="3" t="s">
        <v>645</v>
      </c>
      <c r="D8" s="3" t="s">
        <v>646</v>
      </c>
      <c r="E8" s="3" t="s">
        <v>647</v>
      </c>
      <c r="F8" s="3" t="s">
        <v>648</v>
      </c>
    </row>
    <row r="9" spans="1:6" ht="33.950000000000003" customHeight="1">
      <c r="A9" s="2" t="s">
        <v>649</v>
      </c>
      <c r="B9" s="3" t="s">
        <v>650</v>
      </c>
      <c r="C9" s="3" t="s">
        <v>651</v>
      </c>
      <c r="D9" s="3" t="s">
        <v>652</v>
      </c>
      <c r="E9" s="3" t="s">
        <v>653</v>
      </c>
      <c r="F9" s="3" t="s">
        <v>648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pane xSplit="3" ySplit="4" topLeftCell="D5" activePane="bottomRight" state="frozen"/>
      <selection pane="topRight"/>
      <selection pane="bottomLeft"/>
      <selection pane="bottomRight" activeCell="A5" sqref="A5"/>
    </sheetView>
  </sheetViews>
  <sheetFormatPr defaultColWidth="8.85546875" defaultRowHeight="15"/>
  <cols>
    <col min="1" max="1" width="4" customWidth="1"/>
    <col min="2" max="2" width="8" customWidth="1"/>
    <col min="3" max="3" width="16" customWidth="1"/>
    <col min="4" max="4" width="40" customWidth="1"/>
    <col min="5" max="5" width="11" customWidth="1"/>
    <col min="6" max="6" width="16" customWidth="1"/>
    <col min="7" max="8" width="12" customWidth="1"/>
    <col min="9" max="9" width="9" customWidth="1"/>
    <col min="10" max="10" width="40" customWidth="1"/>
  </cols>
  <sheetData>
    <row r="1" spans="1:10" ht="26.1" customHeight="1">
      <c r="A1" s="200" t="s">
        <v>654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0" ht="15.95" customHeight="1">
      <c r="A2" s="216" t="s">
        <v>655</v>
      </c>
      <c r="B2" s="201"/>
      <c r="C2" s="201"/>
      <c r="D2" s="201"/>
      <c r="E2" s="201"/>
      <c r="F2" s="201"/>
      <c r="G2" s="201"/>
      <c r="H2" s="201"/>
      <c r="I2" s="201"/>
      <c r="J2" s="201"/>
    </row>
    <row r="4" spans="1:10">
      <c r="A4" s="1" t="s">
        <v>415</v>
      </c>
      <c r="B4" s="1" t="s">
        <v>656</v>
      </c>
      <c r="C4" s="1" t="s">
        <v>657</v>
      </c>
      <c r="D4" s="1" t="s">
        <v>658</v>
      </c>
      <c r="E4" s="1" t="s">
        <v>474</v>
      </c>
      <c r="F4" s="1" t="s">
        <v>622</v>
      </c>
      <c r="G4" s="1" t="s">
        <v>659</v>
      </c>
      <c r="H4" s="1" t="s">
        <v>660</v>
      </c>
      <c r="I4" s="1" t="s">
        <v>188</v>
      </c>
      <c r="J4" s="1" t="s">
        <v>661</v>
      </c>
    </row>
    <row r="5" spans="1:10" ht="33.950000000000003" customHeight="1">
      <c r="A5" s="4">
        <v>1</v>
      </c>
      <c r="B5" s="17" t="s">
        <v>662</v>
      </c>
      <c r="C5" s="3" t="s">
        <v>663</v>
      </c>
      <c r="D5" s="3" t="s">
        <v>664</v>
      </c>
      <c r="E5" s="3" t="s">
        <v>662</v>
      </c>
      <c r="F5" s="3" t="s">
        <v>634</v>
      </c>
      <c r="G5" s="19"/>
      <c r="H5" s="4" t="s">
        <v>665</v>
      </c>
      <c r="I5" s="4" t="s">
        <v>666</v>
      </c>
      <c r="J5" s="3" t="s">
        <v>667</v>
      </c>
    </row>
    <row r="6" spans="1:10" ht="33.950000000000003" customHeight="1">
      <c r="A6" s="4">
        <v>2</v>
      </c>
      <c r="B6" s="17" t="s">
        <v>662</v>
      </c>
      <c r="C6" s="3" t="s">
        <v>668</v>
      </c>
      <c r="D6" s="3" t="s">
        <v>669</v>
      </c>
      <c r="E6" s="3" t="s">
        <v>662</v>
      </c>
      <c r="F6" s="3" t="s">
        <v>634</v>
      </c>
      <c r="G6" s="19"/>
      <c r="H6" s="4" t="s">
        <v>665</v>
      </c>
      <c r="I6" s="4" t="s">
        <v>666</v>
      </c>
      <c r="J6" s="3" t="s">
        <v>670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F4BE-39E9-7542-8012-670B28B5652A}">
  <sheetPr>
    <tabColor rgb="FFFF0000"/>
    <pageSetUpPr autoPageBreaks="0"/>
  </sheetPr>
  <dimension ref="B1:F10"/>
  <sheetViews>
    <sheetView zoomScaleNormal="100" workbookViewId="0">
      <pane ySplit="1" topLeftCell="A2" activePane="bottomLeft" state="frozen"/>
      <selection activeCell="C16" sqref="C16:C18"/>
      <selection pane="bottomLeft" activeCell="E43" sqref="E43"/>
    </sheetView>
  </sheetViews>
  <sheetFormatPr defaultColWidth="9.140625" defaultRowHeight="12.75"/>
  <cols>
    <col min="1" max="1" width="4.42578125" style="27" customWidth="1"/>
    <col min="2" max="2" width="29.42578125" style="27" customWidth="1"/>
    <col min="3" max="3" width="45.42578125" style="27" bestFit="1" customWidth="1"/>
    <col min="4" max="4" width="46" style="27" customWidth="1"/>
    <col min="5" max="5" width="39.42578125" style="34" bestFit="1" customWidth="1"/>
    <col min="6" max="6" width="58.85546875" style="34" bestFit="1" customWidth="1"/>
    <col min="7" max="16384" width="9.140625" style="27"/>
  </cols>
  <sheetData>
    <row r="1" spans="2:6" s="23" customFormat="1" ht="15.75">
      <c r="B1" s="217" t="s">
        <v>671</v>
      </c>
      <c r="C1" s="217"/>
      <c r="D1" s="217"/>
      <c r="E1" s="217"/>
      <c r="F1" s="22"/>
    </row>
    <row r="2" spans="2:6">
      <c r="B2" s="24" t="s">
        <v>672</v>
      </c>
      <c r="C2" s="25" t="s">
        <v>673</v>
      </c>
      <c r="D2" s="25" t="s">
        <v>674</v>
      </c>
      <c r="E2" s="26" t="s">
        <v>675</v>
      </c>
      <c r="F2" s="26" t="s">
        <v>676</v>
      </c>
    </row>
    <row r="3" spans="2:6" ht="15">
      <c r="B3" s="25" t="s">
        <v>607</v>
      </c>
      <c r="C3" s="28"/>
      <c r="D3" s="28"/>
      <c r="E3" s="28"/>
      <c r="F3" s="29"/>
    </row>
    <row r="4" spans="2:6" ht="15">
      <c r="B4" s="25" t="s">
        <v>677</v>
      </c>
      <c r="C4" s="30"/>
      <c r="D4" s="31"/>
      <c r="E4" s="32"/>
      <c r="F4" s="33"/>
    </row>
    <row r="5" spans="2:6">
      <c r="B5" s="24" t="s">
        <v>678</v>
      </c>
      <c r="C5" s="25" t="s">
        <v>673</v>
      </c>
      <c r="D5" s="25" t="s">
        <v>674</v>
      </c>
      <c r="E5" s="26" t="s">
        <v>675</v>
      </c>
      <c r="F5" s="26" t="s">
        <v>676</v>
      </c>
    </row>
    <row r="6" spans="2:6" ht="15">
      <c r="B6" s="25" t="s">
        <v>607</v>
      </c>
      <c r="C6" s="28"/>
      <c r="D6" s="28"/>
      <c r="E6" s="28"/>
      <c r="F6" s="29"/>
    </row>
    <row r="7" spans="2:6" ht="15">
      <c r="B7" s="25" t="s">
        <v>677</v>
      </c>
      <c r="C7" s="30"/>
      <c r="D7" s="31"/>
      <c r="E7" s="32"/>
      <c r="F7" s="33"/>
    </row>
    <row r="8" spans="2:6">
      <c r="B8" s="24" t="s">
        <v>679</v>
      </c>
      <c r="C8" s="25" t="s">
        <v>673</v>
      </c>
      <c r="D8" s="25" t="s">
        <v>674</v>
      </c>
      <c r="E8" s="26" t="s">
        <v>675</v>
      </c>
      <c r="F8" s="26" t="s">
        <v>676</v>
      </c>
    </row>
    <row r="9" spans="2:6" ht="15">
      <c r="B9" s="25" t="s">
        <v>607</v>
      </c>
      <c r="C9" s="28"/>
      <c r="D9" s="28"/>
      <c r="E9" s="28"/>
      <c r="F9" s="29"/>
    </row>
    <row r="10" spans="2:6" ht="15">
      <c r="B10" s="25" t="s">
        <v>677</v>
      </c>
      <c r="C10" s="30"/>
      <c r="D10" s="31"/>
      <c r="E10" s="32"/>
      <c r="F10" s="33"/>
    </row>
  </sheetData>
  <mergeCells count="1">
    <mergeCell ref="B1:E1"/>
  </mergeCells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9E60-E1C4-B14B-B7C7-0CCEB4899AF1}">
  <sheetPr>
    <tabColor theme="2" tint="-9.9978637043366805E-2"/>
    <pageSetUpPr autoPageBreaks="0"/>
  </sheetPr>
  <dimension ref="B1:E9"/>
  <sheetViews>
    <sheetView zoomScaleNormal="100" workbookViewId="0">
      <pane ySplit="2" topLeftCell="A3" activePane="bottomLeft" state="frozen"/>
      <selection activeCell="C16" sqref="C16:C18"/>
      <selection pane="bottomLeft" activeCell="C23" sqref="C23"/>
    </sheetView>
  </sheetViews>
  <sheetFormatPr defaultColWidth="9.140625" defaultRowHeight="12.75"/>
  <cols>
    <col min="1" max="1" width="4.42578125" style="27" customWidth="1"/>
    <col min="2" max="2" width="26.42578125" style="27" customWidth="1"/>
    <col min="3" max="5" width="32.42578125" style="27" customWidth="1"/>
    <col min="6" max="16384" width="9.140625" style="27"/>
  </cols>
  <sheetData>
    <row r="1" spans="2:5" ht="13.5" thickBot="1"/>
    <row r="2" spans="2:5" s="23" customFormat="1" ht="18" customHeight="1" thickBot="1">
      <c r="B2" s="217" t="s">
        <v>680</v>
      </c>
      <c r="C2" s="218"/>
      <c r="D2" s="218"/>
      <c r="E2" s="219"/>
    </row>
    <row r="3" spans="2:5" ht="18" customHeight="1" thickBot="1">
      <c r="B3" s="220" t="s">
        <v>681</v>
      </c>
      <c r="C3" s="221"/>
      <c r="D3" s="221"/>
      <c r="E3" s="222"/>
    </row>
    <row r="4" spans="2:5" ht="15.75" customHeight="1" thickBot="1">
      <c r="B4" s="35" t="s">
        <v>682</v>
      </c>
      <c r="C4" s="36" t="s">
        <v>683</v>
      </c>
      <c r="D4" s="36" t="s">
        <v>684</v>
      </c>
      <c r="E4" s="37" t="s">
        <v>652</v>
      </c>
    </row>
    <row r="5" spans="2:5" ht="15" customHeight="1">
      <c r="B5" s="38" t="s">
        <v>607</v>
      </c>
      <c r="C5" s="39"/>
      <c r="D5" s="39"/>
      <c r="E5" s="39"/>
    </row>
    <row r="6" spans="2:5" ht="15" customHeight="1">
      <c r="B6" s="40" t="s">
        <v>685</v>
      </c>
      <c r="C6" s="41"/>
      <c r="D6" s="41"/>
      <c r="E6" s="42"/>
    </row>
    <row r="7" spans="2:5" ht="15" customHeight="1">
      <c r="B7" s="43" t="s">
        <v>686</v>
      </c>
      <c r="C7" s="41"/>
      <c r="D7" s="41"/>
      <c r="E7" s="42"/>
    </row>
    <row r="8" spans="2:5" ht="15" customHeight="1">
      <c r="B8" s="43" t="s">
        <v>687</v>
      </c>
      <c r="C8" s="42"/>
      <c r="D8" s="42"/>
      <c r="E8" s="42"/>
    </row>
    <row r="9" spans="2:5" ht="15" customHeight="1" thickBot="1">
      <c r="B9" s="44" t="s">
        <v>688</v>
      </c>
      <c r="C9" s="45"/>
      <c r="D9" s="45"/>
      <c r="E9" s="45"/>
    </row>
  </sheetData>
  <mergeCells count="2">
    <mergeCell ref="B2:E2"/>
    <mergeCell ref="B3:E3"/>
  </mergeCell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382A-E424-1248-AB14-305A387D4552}">
  <dimension ref="A3:B11"/>
  <sheetViews>
    <sheetView zoomScaleNormal="100" workbookViewId="0">
      <selection activeCell="B9" sqref="B9"/>
    </sheetView>
  </sheetViews>
  <sheetFormatPr defaultColWidth="10.85546875" defaultRowHeight="15"/>
  <cols>
    <col min="1" max="1" width="22" bestFit="1" customWidth="1"/>
    <col min="2" max="2" width="14.5703125" bestFit="1" customWidth="1"/>
  </cols>
  <sheetData>
    <row r="3" spans="1:2">
      <c r="A3" s="68" t="s">
        <v>689</v>
      </c>
      <c r="B3" t="s">
        <v>690</v>
      </c>
    </row>
    <row r="4" spans="1:2">
      <c r="A4" s="69" t="s">
        <v>1</v>
      </c>
      <c r="B4">
        <v>24</v>
      </c>
    </row>
    <row r="5" spans="1:2">
      <c r="A5" s="69" t="s">
        <v>767</v>
      </c>
      <c r="B5">
        <v>10</v>
      </c>
    </row>
    <row r="6" spans="1:2">
      <c r="A6" s="69" t="s">
        <v>749</v>
      </c>
      <c r="B6">
        <v>13</v>
      </c>
    </row>
    <row r="7" spans="1:2">
      <c r="A7" s="69" t="s">
        <v>731</v>
      </c>
      <c r="B7">
        <v>42</v>
      </c>
    </row>
    <row r="8" spans="1:2">
      <c r="A8" s="69" t="s">
        <v>776</v>
      </c>
      <c r="B8">
        <v>3</v>
      </c>
    </row>
    <row r="9" spans="1:2">
      <c r="A9" s="69" t="s">
        <v>732</v>
      </c>
      <c r="B9">
        <v>1</v>
      </c>
    </row>
    <row r="10" spans="1:2">
      <c r="A10" s="69" t="s">
        <v>769</v>
      </c>
      <c r="B10">
        <v>2</v>
      </c>
    </row>
    <row r="11" spans="1:2">
      <c r="A11" s="69" t="s">
        <v>691</v>
      </c>
      <c r="B11">
        <v>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B929-E02F-0242-A7F2-330D45DEFC93}">
  <dimension ref="A1:C12"/>
  <sheetViews>
    <sheetView zoomScaleNormal="100" workbookViewId="0">
      <selection activeCell="C24" sqref="C24"/>
    </sheetView>
  </sheetViews>
  <sheetFormatPr defaultColWidth="10.85546875" defaultRowHeight="15"/>
  <cols>
    <col min="1" max="1" width="7" bestFit="1" customWidth="1"/>
    <col min="2" max="2" width="32.85546875" bestFit="1" customWidth="1"/>
  </cols>
  <sheetData>
    <row r="1" spans="1:3">
      <c r="A1" s="46"/>
      <c r="B1" s="46" t="s">
        <v>692</v>
      </c>
      <c r="C1" t="s">
        <v>188</v>
      </c>
    </row>
    <row r="2" spans="1:3">
      <c r="A2">
        <v>1</v>
      </c>
      <c r="B2" t="s">
        <v>693</v>
      </c>
    </row>
    <row r="3" spans="1:3">
      <c r="A3">
        <f>A2+1</f>
        <v>2</v>
      </c>
      <c r="B3" t="s">
        <v>694</v>
      </c>
    </row>
    <row r="4" spans="1:3">
      <c r="A4">
        <f t="shared" ref="A4:A8" si="0">A3+1</f>
        <v>3</v>
      </c>
      <c r="B4" t="s">
        <v>695</v>
      </c>
    </row>
    <row r="5" spans="1:3">
      <c r="A5">
        <f t="shared" si="0"/>
        <v>4</v>
      </c>
      <c r="B5" t="s">
        <v>696</v>
      </c>
    </row>
    <row r="6" spans="1:3">
      <c r="A6">
        <f t="shared" si="0"/>
        <v>5</v>
      </c>
      <c r="B6" t="s">
        <v>697</v>
      </c>
    </row>
    <row r="7" spans="1:3">
      <c r="A7">
        <f t="shared" si="0"/>
        <v>6</v>
      </c>
      <c r="B7" t="s">
        <v>698</v>
      </c>
    </row>
    <row r="8" spans="1:3">
      <c r="A8">
        <f t="shared" si="0"/>
        <v>7</v>
      </c>
      <c r="B8" t="s">
        <v>699</v>
      </c>
    </row>
    <row r="10" spans="1:3">
      <c r="B10" t="s">
        <v>700</v>
      </c>
    </row>
    <row r="12" spans="1:3">
      <c r="B12" t="s">
        <v>701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6D44-AA83-974E-B11C-D8592BEA87B4}">
  <dimension ref="A1:C32"/>
  <sheetViews>
    <sheetView topLeftCell="A9" zoomScale="70" zoomScaleNormal="70" workbookViewId="0"/>
  </sheetViews>
  <sheetFormatPr defaultColWidth="10.85546875" defaultRowHeight="18.75"/>
  <cols>
    <col min="1" max="1" width="37" style="58" bestFit="1" customWidth="1"/>
    <col min="2" max="2" width="121.42578125" style="62" customWidth="1"/>
    <col min="3" max="3" width="29" style="58" bestFit="1" customWidth="1"/>
    <col min="4" max="16384" width="10.85546875" style="58"/>
  </cols>
  <sheetData>
    <row r="1" spans="1:3">
      <c r="A1" s="55" t="s">
        <v>702</v>
      </c>
      <c r="B1" s="56" t="s">
        <v>188</v>
      </c>
      <c r="C1" s="57" t="s">
        <v>376</v>
      </c>
    </row>
    <row r="2" spans="1:3" ht="37.5">
      <c r="A2" s="59" t="s">
        <v>693</v>
      </c>
      <c r="B2" s="60" t="s">
        <v>703</v>
      </c>
      <c r="C2" s="58" t="s">
        <v>704</v>
      </c>
    </row>
    <row r="3" spans="1:3" ht="37.5">
      <c r="A3" s="59" t="s">
        <v>694</v>
      </c>
      <c r="B3" s="60" t="s">
        <v>705</v>
      </c>
    </row>
    <row r="4" spans="1:3">
      <c r="A4" s="223" t="s">
        <v>695</v>
      </c>
      <c r="B4" s="60" t="s">
        <v>706</v>
      </c>
    </row>
    <row r="5" spans="1:3">
      <c r="A5" s="223"/>
      <c r="B5" s="61" t="s">
        <v>707</v>
      </c>
    </row>
    <row r="6" spans="1:3" ht="56.25">
      <c r="A6" s="223" t="s">
        <v>708</v>
      </c>
      <c r="B6" s="60" t="s">
        <v>709</v>
      </c>
    </row>
    <row r="7" spans="1:3">
      <c r="A7" s="223"/>
      <c r="B7" s="60"/>
    </row>
    <row r="8" spans="1:3" ht="37.5">
      <c r="A8" s="223"/>
      <c r="B8" s="61" t="s">
        <v>710</v>
      </c>
    </row>
    <row r="9" spans="1:3" ht="37.5">
      <c r="A9" s="223" t="s">
        <v>696</v>
      </c>
      <c r="B9" s="61" t="s">
        <v>711</v>
      </c>
    </row>
    <row r="10" spans="1:3">
      <c r="A10" s="223"/>
      <c r="B10" s="60" t="s">
        <v>712</v>
      </c>
    </row>
    <row r="11" spans="1:3">
      <c r="A11" s="223"/>
      <c r="B11" s="60" t="s">
        <v>713</v>
      </c>
    </row>
    <row r="12" spans="1:3" ht="37.5">
      <c r="A12" s="223"/>
      <c r="B12" s="60" t="s">
        <v>714</v>
      </c>
    </row>
    <row r="13" spans="1:3">
      <c r="A13" s="223"/>
      <c r="B13" s="60" t="s">
        <v>715</v>
      </c>
    </row>
    <row r="14" spans="1:3">
      <c r="A14" s="223"/>
      <c r="B14" s="60" t="s">
        <v>716</v>
      </c>
    </row>
    <row r="15" spans="1:3">
      <c r="A15" s="223"/>
      <c r="B15" s="60"/>
    </row>
    <row r="16" spans="1:3">
      <c r="A16" s="223"/>
      <c r="B16" s="61" t="s">
        <v>717</v>
      </c>
    </row>
    <row r="17" spans="1:2">
      <c r="A17" s="223"/>
      <c r="B17" s="60" t="s">
        <v>718</v>
      </c>
    </row>
    <row r="18" spans="1:2" ht="37.5">
      <c r="A18" s="223"/>
      <c r="B18" s="60" t="s">
        <v>719</v>
      </c>
    </row>
    <row r="19" spans="1:2">
      <c r="A19" s="223"/>
      <c r="B19" s="61"/>
    </row>
    <row r="20" spans="1:2">
      <c r="A20" s="223"/>
      <c r="B20" s="61" t="s">
        <v>720</v>
      </c>
    </row>
    <row r="21" spans="1:2" ht="37.5">
      <c r="A21" s="223"/>
      <c r="B21" s="60" t="s">
        <v>721</v>
      </c>
    </row>
    <row r="22" spans="1:2">
      <c r="A22" s="223"/>
      <c r="B22" s="60" t="s">
        <v>722</v>
      </c>
    </row>
    <row r="23" spans="1:2">
      <c r="A23" s="223"/>
      <c r="B23" s="60" t="s">
        <v>723</v>
      </c>
    </row>
    <row r="24" spans="1:2">
      <c r="A24" s="223"/>
      <c r="B24" s="60" t="s">
        <v>724</v>
      </c>
    </row>
    <row r="25" spans="1:2" ht="37.5">
      <c r="A25" s="223"/>
      <c r="B25" s="60" t="s">
        <v>725</v>
      </c>
    </row>
    <row r="26" spans="1:2">
      <c r="A26" s="223"/>
      <c r="B26" s="60" t="s">
        <v>726</v>
      </c>
    </row>
    <row r="27" spans="1:2">
      <c r="A27" s="223"/>
      <c r="B27" s="60"/>
    </row>
    <row r="28" spans="1:2" ht="37.5">
      <c r="A28" s="223"/>
      <c r="B28" s="61" t="s">
        <v>727</v>
      </c>
    </row>
    <row r="29" spans="1:2">
      <c r="A29" s="223" t="s">
        <v>697</v>
      </c>
      <c r="B29" s="60" t="s">
        <v>728</v>
      </c>
    </row>
    <row r="30" spans="1:2" ht="37.5">
      <c r="A30" s="223"/>
      <c r="B30" s="60" t="s">
        <v>729</v>
      </c>
    </row>
    <row r="31" spans="1:2" ht="37.5">
      <c r="A31" s="59" t="s">
        <v>698</v>
      </c>
      <c r="B31" s="60" t="s">
        <v>730</v>
      </c>
    </row>
    <row r="32" spans="1:2">
      <c r="A32" s="59"/>
    </row>
  </sheetData>
  <mergeCells count="4">
    <mergeCell ref="A4:A5"/>
    <mergeCell ref="A6:A8"/>
    <mergeCell ref="A9:A28"/>
    <mergeCell ref="A29:A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7" ma:contentTypeDescription="Create a new document." ma:contentTypeScope="" ma:versionID="9d4bc6e514a6fc5cbd00d623ff256375">
  <xsd:schema xmlns:xsd="http://www.w3.org/2001/XMLSchema" xmlns:xs="http://www.w3.org/2001/XMLSchema" xmlns:p="http://schemas.microsoft.com/office/2006/metadata/properties" xmlns:ns2="c5113c95-015b-4820-b6a3-818f9e6dc093" xmlns:ns3="36508d21-8fff-431f-a406-9b6bf26175dc" targetNamespace="http://schemas.microsoft.com/office/2006/metadata/properties" ma:root="true" ma:fieldsID="694eda5b07507659cbd93060b2f38bf9" ns2:_="" ns3:_=""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_ip_UnifiedCompliancePolicyProperties" minOccurs="0"/>
                <xsd:element ref="ns3:_ip_UnifiedCompliancePolicyUIAction" minOccurs="0"/>
                <xsd:element ref="ns2:MediaServiceBillingMetadata" minOccurs="0"/>
                <xsd:element ref="ns2:Time" minOccurs="0"/>
                <xsd:element ref="ns2: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6" nillable="true" ma:displayName="Time" ma:format="DateOnly" ma:internalName="Time">
      <xsd:simpleType>
        <xsd:restriction base="dms:DateTime"/>
      </xsd:simpleType>
    </xsd:element>
    <xsd:element name="DateTime" ma:index="27" nillable="true" ma:displayName="Date &amp; Time" ma:format="DateOnly" ma:internalName="Date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7a5fd8-a461-4a8b-9b03-aa4fa4511314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ip_UnifiedCompliancePolicyProperties" ma:index="23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c5113c95-015b-4820-b6a3-818f9e6dc093" xsi:nil="true"/>
    <lcf76f155ced4ddcb4097134ff3c332f xmlns="c5113c95-015b-4820-b6a3-818f9e6dc093">
      <Terms xmlns="http://schemas.microsoft.com/office/infopath/2007/PartnerControls"/>
    </lcf76f155ced4ddcb4097134ff3c332f>
    <_ip_UnifiedCompliancePolicyProperties xmlns="36508d21-8fff-431f-a406-9b6bf26175dc" xsi:nil="true"/>
    <TaxCatchAll xmlns="36508d21-8fff-431f-a406-9b6bf26175dc" xsi:nil="true"/>
    <DateTime xmlns="c5113c95-015b-4820-b6a3-818f9e6dc093" xsi:nil="true"/>
    <_ip_UnifiedCompliancePolicyUIAction xmlns="36508d21-8fff-431f-a406-9b6bf26175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E49D3-7B95-48E8-9352-D4167FCB7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113c95-015b-4820-b6a3-818f9e6dc093"/>
    <ds:schemaRef ds:uri="36508d21-8fff-431f-a406-9b6bf2617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F35DA-C3F8-4378-985E-4D7FECDDA380}">
  <ds:schemaRefs>
    <ds:schemaRef ds:uri="http://schemas.microsoft.com/office/2006/metadata/properties"/>
    <ds:schemaRef ds:uri="http://schemas.microsoft.com/office/infopath/2007/PartnerControls"/>
    <ds:schemaRef ds:uri="c5113c95-015b-4820-b6a3-818f9e6dc093"/>
    <ds:schemaRef ds:uri="36508d21-8fff-431f-a406-9b6bf26175dc"/>
  </ds:schemaRefs>
</ds:datastoreItem>
</file>

<file path=customXml/itemProps3.xml><?xml version="1.0" encoding="utf-8"?>
<ds:datastoreItem xmlns:ds="http://schemas.openxmlformats.org/officeDocument/2006/customXml" ds:itemID="{4AE47969-B0A4-483D-9745-92374E95A7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Existing</vt:lpstr>
      <vt:lpstr>Hiring Tracker</vt:lpstr>
      <vt:lpstr>HiringTracker-Infosys</vt:lpstr>
      <vt:lpstr>KT-Status</vt:lpstr>
      <vt:lpstr>App &amp; Wave Scope</vt:lpstr>
      <vt:lpstr>Transition - Progress by Domain</vt:lpstr>
      <vt:lpstr>Team Roster</vt:lpstr>
      <vt:lpstr>Interview Tracking-Summary</vt:lpstr>
      <vt:lpstr>Interview Tracking</vt:lpstr>
      <vt:lpstr>Plan Summary</vt:lpstr>
      <vt:lpstr>KA Knowledge Areas</vt:lpstr>
      <vt:lpstr>Discovery Questionnaire</vt:lpstr>
      <vt:lpstr>KT Metrics &amp; RAG</vt:lpstr>
      <vt:lpstr>Phase Gates</vt:lpstr>
      <vt:lpstr>Access &amp; Onboarding</vt:lpstr>
      <vt:lpstr>Governance &amp; Cadence</vt:lpstr>
      <vt:lpstr>KT RAID</vt:lpstr>
      <vt:lpstr>POCs Client</vt:lpstr>
      <vt:lpstr>POCs Ascendion</vt:lpstr>
      <vt:lpstr>PivotCandidate</vt:lpstr>
      <vt:lpstr>Focus Areas</vt:lpstr>
      <vt:lpstr>First KT 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Tripurari Ganesan, Siva Kumar</cp:lastModifiedBy>
  <cp:revision/>
  <dcterms:created xsi:type="dcterms:W3CDTF">2026-07-21T14:30:52Z</dcterms:created>
  <dcterms:modified xsi:type="dcterms:W3CDTF">2026-10-15T10:46:35Z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MediaServiceImageTags">
    <vt:lpwstr/>
  </property>
</Properties>
</file>